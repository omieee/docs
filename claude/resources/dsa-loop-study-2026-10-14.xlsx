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oops" sheetId="2" state="visible" r:id="rId4"/>
    <sheet name="Method" sheetId="3" state="visible" r:id="rId5"/>
    <sheet name="Exclud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<sst xmlns="http://schemas.openxmlformats.org/spreadsheetml/2006/main" count="1522" uniqueCount="691">
  <si>
    <t xml:space="preserve">Does a senior backend loop in India still include DSA? (Oct 2024 to Oct 2026)</t>
  </si>
  <si>
    <t xml:space="preserve">All counts are live formulas over the Loops sheet. "Counted" = after same-author, same-company dedupe. Share = Yes / (Yes + No); Unclear rows are left out of the share.</t>
  </si>
  <si>
    <t xml:space="preserve">Slice</t>
  </si>
  <si>
    <t xml:space="preserve">Loops</t>
  </si>
  <si>
    <t xml:space="preserve">DSA yes</t>
  </si>
  <si>
    <t xml:space="preserve">DSA no</t>
  </si>
  <si>
    <t xml:space="preserve">Unclear</t>
  </si>
  <si>
    <t xml:space="preserve">DSA share</t>
  </si>
  <si>
    <t xml:space="preserve">Read this as</t>
  </si>
  <si>
    <t xml:space="preserve">All loops (headline)</t>
  </si>
  <si>
    <t xml:space="preserve">Everything kept</t>
  </si>
  <si>
    <t xml:space="preserve">Complete loops only</t>
  </si>
  <si>
    <t xml:space="preserve">Most honest number: partial loops were kept only if DSA showed up</t>
  </si>
  <si>
    <t xml:space="preserve">Partial loops</t>
  </si>
  <si>
    <t xml:space="preserve">100% by rule, not a finding</t>
  </si>
  <si>
    <t xml:space="preserve">YoE &lt;6 with senior title</t>
  </si>
  <si>
    <t xml:space="preserve">YoE 6-7</t>
  </si>
  <si>
    <t xml:space="preserve">YoE 8-10</t>
  </si>
  <si>
    <t xml:space="preserve">Closest band to you (12 yrs); small sample</t>
  </si>
  <si>
    <t xml:space="preserve">YoE 11+</t>
  </si>
  <si>
    <t xml:space="preserve">Tiny sample</t>
  </si>
  <si>
    <t xml:space="preserve">YoE not stated</t>
  </si>
  <si>
    <t xml:space="preserve">Year 2024-25</t>
  </si>
  <si>
    <t xml:space="preserve">Year 2026</t>
  </si>
  <si>
    <t xml:space="preserve">AI era check</t>
  </si>
  <si>
    <t xml:space="preserve">Year 2026, complete loops</t>
  </si>
  <si>
    <t xml:space="preserve">AI era, unbiased slice</t>
  </si>
  <si>
    <t xml:space="preserve">Source: LeetCode</t>
  </si>
  <si>
    <t xml:space="preserve">Self-selected DSA crowd?</t>
  </si>
  <si>
    <t xml:space="preserve">Source: Taro + Glassdoor</t>
  </si>
  <si>
    <t xml:space="preserve">Different crowd, bias check</t>
  </si>
  <si>
    <t xml:space="preserve">YoE 8+ (8-10 plus 11+)</t>
  </si>
  <si>
    <t xml:space="preserve">Your band</t>
  </si>
  <si>
    <t xml:space="preserve">Where the interview time goes (complete loops with a clear DSA answer)</t>
  </si>
  <si>
    <t xml:space="preserve">Round type</t>
  </si>
  <si>
    <t xml:space="preserve">Rounds</t>
  </si>
  <si>
    <t xml:space="preserve">Share of all rounds</t>
  </si>
  <si>
    <t xml:space="preserve">Loops with it</t>
  </si>
  <si>
    <t xml:space="preserve">Share of loops</t>
  </si>
  <si>
    <t xml:space="preserve">DSA (incl. OA)</t>
  </si>
  <si>
    <t xml:space="preserve">HLD / system design</t>
  </si>
  <si>
    <t xml:space="preserve">HM / behavioral</t>
  </si>
  <si>
    <t xml:space="preserve">Project deep-dive</t>
  </si>
  <si>
    <t xml:space="preserve">LLD</t>
  </si>
  <si>
    <t xml:space="preserve">Lang / CS fundamentals</t>
  </si>
  <si>
    <t xml:space="preserve">Machine coding</t>
  </si>
  <si>
    <t xml:space="preserve">AI concepts</t>
  </si>
  <si>
    <t xml:space="preserve">Code review / debug</t>
  </si>
  <si>
    <t xml:space="preserve">AI-assisted coding</t>
  </si>
  <si>
    <t xml:space="preserve">Total rounds</t>
  </si>
  <si>
    <t xml:space="preserve">(loops in this block)</t>
  </si>
  <si>
    <t xml:space="preserve">Compare with the plan</t>
  </si>
  <si>
    <t xml:space="preserve">DSA hours in plan</t>
  </si>
  <si>
    <t xml:space="preserve">Source: Phase1_Master_Plan_v3.3.md (hours table). Blue = typed-in input.</t>
  </si>
  <si>
    <t xml:space="preserve">Total plan hours</t>
  </si>
  <si>
    <t xml:space="preserve">DSA share of plan hours</t>
  </si>
  <si>
    <t xml:space="preserve">DSA share of interview rounds</t>
  </si>
  <si>
    <t xml:space="preserve">#</t>
  </si>
  <si>
    <t xml:space="preserve">Company</t>
  </si>
  <si>
    <t xml:space="preserve">Title / level</t>
  </si>
  <si>
    <t xml:space="preserve">YoE</t>
  </si>
  <si>
    <t xml:space="preserve">YoE band</t>
  </si>
  <si>
    <t xml:space="preserve">Location</t>
  </si>
  <si>
    <t xml:space="preserve">Date</t>
  </si>
  <si>
    <t xml:space="preserve">Year group</t>
  </si>
  <si>
    <t xml:space="preserve">Source</t>
  </si>
  <si>
    <t xml:space="preserve">Link</t>
  </si>
  <si>
    <t xml:space="preserve">DSA asked?</t>
  </si>
  <si>
    <t xml:space="preserve">DSA rounds</t>
  </si>
  <si>
    <t xml:space="preserve">DSA difficulty</t>
  </si>
  <si>
    <t xml:space="preserve">HLD</t>
  </si>
  <si>
    <t xml:space="preserve">Rounds counted</t>
  </si>
  <si>
    <t xml:space="preserve">Partial loop?</t>
  </si>
  <si>
    <t xml:space="preserve">Same-author tag</t>
  </si>
  <si>
    <t xml:space="preserve">Counted (dedup)?</t>
  </si>
  <si>
    <t xml:space="preserve">Outcome</t>
  </si>
  <si>
    <t xml:space="preserve">Note</t>
  </si>
  <si>
    <t xml:space="preserve">Nutanix</t>
  </si>
  <si>
    <t xml:space="preserve">SMTS</t>
  </si>
  <si>
    <t xml:space="preserve">Bengaluru</t>
  </si>
  <si>
    <t xml:space="preserve">2026-08</t>
  </si>
  <si>
    <t xml:space="preserve">Glassdoor</t>
  </si>
  <si>
    <t xml:space="preserve">https://www.glassdoor.com/Interview/Nutanix-Interview-Questions-E429159.htm#SMTS-2026-08-04</t>
  </si>
  <si>
    <t xml:space="preserve">unclear</t>
  </si>
  <si>
    <t xml:space="preserve">not stated</t>
  </si>
  <si>
    <t xml:space="preserve">N</t>
  </si>
  <si>
    <t xml:space="preserve">Y</t>
  </si>
  <si>
    <t xml:space="preserve">accepted</t>
  </si>
  <si>
    <t xml:space="preserve">Uber</t>
  </si>
  <si>
    <t xml:space="preserve">Senior SE</t>
  </si>
  <si>
    <t xml:space="preserve">2026-06</t>
  </si>
  <si>
    <t xml:space="preserve">https://www.glassdoor.co.in/Interview/Uber-Senior-Software-Engineer-Interview-Questions-EI_IE575263.0,4_KO5,29.htm#2026-06-02</t>
  </si>
  <si>
    <t xml:space="preserve">no offer after round 1</t>
  </si>
  <si>
    <t xml:space="preserve">round labelled coding; question algorithmic (rectangle-line intersections)</t>
  </si>
  <si>
    <t xml:space="preserve">Salesforce</t>
  </si>
  <si>
    <t xml:space="preserve">Hyderabad</t>
  </si>
  <si>
    <t xml:space="preserve">https://www.glassdoor.com.au/Interview/Salesforce-Interview-E11159-RVW104386922.htm</t>
  </si>
  <si>
    <t xml:space="preserve">medium</t>
  </si>
  <si>
    <t xml:space="preserve">offer</t>
  </si>
  <si>
    <t xml:space="preserve">plus OA (easy/medium); DSA rounds: graphs, stacks, two pointers; HM deep dive on prod debugging</t>
  </si>
  <si>
    <t xml:space="preserve">Razorpay</t>
  </si>
  <si>
    <t xml:space="preserve">Lead SE</t>
  </si>
  <si>
    <t xml:space="preserve">https://www.glassdoor.com/Interview/Razorpay-Interview-E1146550-RVW104471826.htm</t>
  </si>
  <si>
    <t xml:space="preserve">DSA only in the 45-min HackerRank OA (one medium, leaned easy); agentic coding round</t>
  </si>
  <si>
    <t xml:space="preserve">Walmart</t>
  </si>
  <si>
    <t xml:space="preserve">Senior SE (IN4)</t>
  </si>
  <si>
    <t xml:space="preserve">India (IN4 is a Walmart India level)</t>
  </si>
  <si>
    <t xml:space="preserve">2026-04</t>
  </si>
  <si>
    <t xml:space="preserve">LeetCode</t>
  </si>
  <si>
    <t xml:space="preserve">https://leetcode.com/discuss/post/8299285/walmart-ssein4-interview-experience-apri-te0v/</t>
  </si>
  <si>
    <t xml:space="preserve">offer, declined</t>
  </si>
  <si>
    <t xml:space="preserve">SDE 3</t>
  </si>
  <si>
    <t xml:space="preserve">Bangalore</t>
  </si>
  <si>
    <t xml:space="preserve">2026-03</t>
  </si>
  <si>
    <t xml:space="preserve">https://leetcode.com/discuss/post/7774527/walmart-sde-3-interview-experience-march-cvri/</t>
  </si>
  <si>
    <t xml:space="preserve">rejected</t>
  </si>
  <si>
    <t xml:space="preserve">MongoDB</t>
  </si>
  <si>
    <t xml:space="preserve">SWE3</t>
  </si>
  <si>
    <t xml:space="preserve">Gurgaon</t>
  </si>
  <si>
    <t xml:space="preserve">https://leetcode.com/discuss/post/7772003/mongodb-swe3-gurgaon-interview-selected-ivulh/</t>
  </si>
  <si>
    <t xml:space="preserve">plus a real-world problem round (migration verifier alerts)</t>
  </si>
  <si>
    <t xml:space="preserve">SMTS (LMTS loop)</t>
  </si>
  <si>
    <t xml:space="preserve">2026-02</t>
  </si>
  <si>
    <t xml:space="preserve">https://leetcode.com/discuss/post/7840794/salesforce-smts-hyderabad-march-2026-off-0fi6/</t>
  </si>
  <si>
    <t xml:space="preserve">mixed</t>
  </si>
  <si>
    <t xml:space="preserve">offer (SMTS)</t>
  </si>
  <si>
    <t xml:space="preserve">PhonePe</t>
  </si>
  <si>
    <t xml:space="preserve">SDE-III</t>
  </si>
  <si>
    <t xml:space="preserve">India (PhonePe)</t>
  </si>
  <si>
    <t xml:space="preserve">https://leetcode.com/discuss/post/7654415/</t>
  </si>
  <si>
    <t xml:space="preserve">hard</t>
  </si>
  <si>
    <t xml:space="preserve">rejected at HLD</t>
  </si>
  <si>
    <t xml:space="preserve">Myntra</t>
  </si>
  <si>
    <t xml:space="preserve">Tech Lead</t>
  </si>
  <si>
    <t xml:space="preserve">India (multi-company post: Meesho, Cleartrip, CoinDCX)</t>
  </si>
  <si>
    <t xml:space="preserve">https://leetcode.com/discuss/post/7698154/#myntra</t>
  </si>
  <si>
    <t xml:space="preserve">plus an OA; DSA questions were custom, based on team projects</t>
  </si>
  <si>
    <t xml:space="preserve">JioHotstar</t>
  </si>
  <si>
    <t xml:space="preserve">Senior SDE (Backend)</t>
  </si>
  <si>
    <t xml:space="preserve">India (JioHotstar)</t>
  </si>
  <si>
    <t xml:space="preserve">https://leetcode.com/discuss/post/7690154/</t>
  </si>
  <si>
    <t xml:space="preserve">n/a</t>
  </si>
  <si>
    <t xml:space="preserve">LLD round included coding a config service</t>
  </si>
  <si>
    <t xml:space="preserve">Software Engineer (5-7 yrs band)</t>
  </si>
  <si>
    <t xml:space="preserve">2026-01</t>
  </si>
  <si>
    <t xml:space="preserve">https://leetcode.com/discuss/post/7770543/phonepe-software-engineer-5-7-years-bang-tppy/</t>
  </si>
  <si>
    <t xml:space="preserve">selected</t>
  </si>
  <si>
    <t xml:space="preserve">Paytm</t>
  </si>
  <si>
    <t xml:space="preserve">SSE</t>
  </si>
  <si>
    <t xml:space="preserve">Noida</t>
  </si>
  <si>
    <t xml:space="preserve">https://leetcode.com/discuss/post/7649720/paytm-interview-experience-sse-jan-2026-r44h2/</t>
  </si>
  <si>
    <t xml:space="preserve">Cleartrip (Flipkart)</t>
  </si>
  <si>
    <t xml:space="preserve">SDE3</t>
  </si>
  <si>
    <t xml:space="preserve">India</t>
  </si>
  <si>
    <t xml:space="preserve">https://leetcode.com/discuss/post/7571535/</t>
  </si>
  <si>
    <t xml:space="preserve">India (same post)</t>
  </si>
  <si>
    <t xml:space="preserve">2026</t>
  </si>
  <si>
    <t xml:space="preserve">https://leetcode.com/discuss/post/8477884/interview-summary-of-last-6-months-micro-y7a7/#walmart</t>
  </si>
  <si>
    <t xml:space="preserve">8477884</t>
  </si>
  <si>
    <t xml:space="preserve">two Walmart roles merged in one entry</t>
  </si>
  <si>
    <t xml:space="preserve">Senior Engineer (hiring drive)</t>
  </si>
  <si>
    <t xml:space="preserve">India (LPA)</t>
  </si>
  <si>
    <t xml:space="preserve">https://leetcode.com/discuss/post/8428653/prep-and-interview-exp-for-seniorstaff-l-ki4x/#walmart-senior</t>
  </si>
  <si>
    <t xml:space="preserve">8428653</t>
  </si>
  <si>
    <t xml:space="preserve">cleared, withdrew</t>
  </si>
  <si>
    <t xml:space="preserve">Staff Engineer</t>
  </si>
  <si>
    <t xml:space="preserve">https://leetcode.com/discuss/post/8428653/prep-and-interview-exp-for-seniorstaff-l-ki4x/#walmart-staff</t>
  </si>
  <si>
    <t xml:space="preserve">30 min on AI tool usage and an AI knowledge-sharing project</t>
  </si>
  <si>
    <t xml:space="preserve">ThoughtSpot</t>
  </si>
  <si>
    <t xml:space="preserve">https://leetcode.com/discuss/post/8428653/prep-and-interview-exp-for-seniorstaff-l-ki4x/#thoughtspot</t>
  </si>
  <si>
    <t xml:space="preserve">ghosted</t>
  </si>
  <si>
    <t xml:space="preserve">Tekion</t>
  </si>
  <si>
    <t xml:space="preserve">https://leetcode.com/discuss/post/8477884/interview-summary-of-last-6-months-micro-y7a7/#tekion</t>
  </si>
  <si>
    <t xml:space="preserve">Swiggy</t>
  </si>
  <si>
    <t xml:space="preserve">SDE-3</t>
  </si>
  <si>
    <t xml:space="preserve">https://leetcode.com/discuss/post/7823221/</t>
  </si>
  <si>
    <t xml:space="preserve">India (multi-company post: Flipkart, Big Billion, Naukri)</t>
  </si>
  <si>
    <t xml:space="preserve">https://leetcode.com/discuss/post/8477884/interview-summary-of-last-6-months-micro-y7a7/#salesforce1</t>
  </si>
  <si>
    <t xml:space="preserve">not stated (second loop)</t>
  </si>
  <si>
    <t xml:space="preserve">https://leetcode.com/discuss/post/8477884/interview-summary-of-last-6-months-micro-y7a7/#salesforce2</t>
  </si>
  <si>
    <t xml:space="preserve">Oracle Health</t>
  </si>
  <si>
    <t xml:space="preserve">SSE + AI role</t>
  </si>
  <si>
    <t xml:space="preserve">https://leetcode.com/discuss/post/8477884/interview-summary-of-last-6-months-micro-y7a7/#oraclehealth</t>
  </si>
  <si>
    <t xml:space="preserve">HM asked about building MCP tools</t>
  </si>
  <si>
    <t xml:space="preserve">IC4</t>
  </si>
  <si>
    <t xml:space="preserve">https://leetcode.com/discuss/post/8428653/prep-and-interview-exp-for-seniorstaff-l-ki4x/#oraclehealth</t>
  </si>
  <si>
    <t xml:space="preserve">IC4 offer, declined</t>
  </si>
  <si>
    <t xml:space="preserve">Oracle Cloud</t>
  </si>
  <si>
    <t xml:space="preserve">https://leetcode.com/discuss/post/8477884/interview-summary-of-last-6-months-micro-y7a7/#oraclecloud</t>
  </si>
  <si>
    <t xml:space="preserve">Oracle</t>
  </si>
  <si>
    <t xml:space="preserve">Chandigarh</t>
  </si>
  <si>
    <t xml:space="preserve">https://www.glassdoor.co.in/Interview/Oracle-Senior-Member-of-Technical-Staff-Interview-Questions-EI_IE1737.0,6_KO7,39.htm#2026-09-01</t>
  </si>
  <si>
    <t xml:space="preserve">DSA and core Java across multiple rounds; count of rounds not given</t>
  </si>
  <si>
    <t xml:space="preserve">Flipkart</t>
  </si>
  <si>
    <t xml:space="preserve">https://leetcode.com/discuss/post/8477884/interview-summary-of-last-6-months-micro-y7a7/#flipkart</t>
  </si>
  <si>
    <t xml:space="preserve">Rubrik</t>
  </si>
  <si>
    <t xml:space="preserve">2025-12</t>
  </si>
  <si>
    <t xml:space="preserve">https://leetcode.com/discuss/post/8319169/#rubrik</t>
  </si>
  <si>
    <t xml:space="preserve">8319169</t>
  </si>
  <si>
    <t xml:space="preserve">rejected after 2 rounds</t>
  </si>
  <si>
    <t xml:space="preserve">LMTS</t>
  </si>
  <si>
    <t xml:space="preserve">2025-11</t>
  </si>
  <si>
    <t xml:space="preserve">https://leetcode.com/discuss/post/7446936/</t>
  </si>
  <si>
    <t xml:space="preserve">Rakuten Symphony</t>
  </si>
  <si>
    <t xml:space="preserve">https://leetcode.com/discuss/post/7410581/</t>
  </si>
  <si>
    <t xml:space="preserve">easy</t>
  </si>
  <si>
    <t xml:space="preserve">easy coding (Fibonacci, word count, non-repeating chars) inside fundamentals and HLD rounds; HM asked about LLMs and RAG</t>
  </si>
  <si>
    <t xml:space="preserve">Omnissa (ex-VMware EUC)</t>
  </si>
  <si>
    <t xml:space="preserve">https://leetcode.com/discuss/post/8319169/#omnissa</t>
  </si>
  <si>
    <t xml:space="preserve">rejected early</t>
  </si>
  <si>
    <t xml:space="preserve">Autodesk</t>
  </si>
  <si>
    <t xml:space="preserve">https://leetcode.com/discuss/post/7386726/</t>
  </si>
  <si>
    <t xml:space="preserve">offer indicated</t>
  </si>
  <si>
    <t xml:space="preserve">Zeta</t>
  </si>
  <si>
    <t xml:space="preserve">2025-10</t>
  </si>
  <si>
    <t xml:space="preserve">https://leetcode.com/discuss/post/7384474/zeta-sde-3-bangalore-oct-2025-declined-o-715m/</t>
  </si>
  <si>
    <t xml:space="preserve">offer (early SDE3), declined</t>
  </si>
  <si>
    <t xml:space="preserve">Sixt</t>
  </si>
  <si>
    <t xml:space="preserve">SDE III</t>
  </si>
  <si>
    <t xml:space="preserve">India (same post: PhonePe, Expedia)</t>
  </si>
  <si>
    <t xml:space="preserve">https://leetcode.com/discuss/post/7253272/#sixt</t>
  </si>
  <si>
    <t xml:space="preserve">7253272</t>
  </si>
  <si>
    <t xml:space="preserve">https://leetcode.com/discuss/post/7253272/#phonepe</t>
  </si>
  <si>
    <t xml:space="preserve">rejected after round 3</t>
  </si>
  <si>
    <t xml:space="preserve">Taro</t>
  </si>
  <si>
    <t xml:space="preserve">https://www.jointaro.com/interviews/companies/oracle/experiences/senior-software-engineer-october-13-2025-no-offer-negative-206c52ba/</t>
  </si>
  <si>
    <t xml:space="preserve">no offer</t>
  </si>
  <si>
    <t xml:space="preserve">two coding rounds of LC-medium questions; HLD booking site</t>
  </si>
  <si>
    <t xml:space="preserve">Principal SE</t>
  </si>
  <si>
    <t xml:space="preserve">https://www.jointaro.com/interviews/companies/oracle/experiences/principal-software-engineer-bengaluru-karnataka-october-27-2025-accepted-offer-positive-30c4e456/</t>
  </si>
  <si>
    <t xml:space="preserve">round 1 with a principal engineer: problem-solving approach and core concepts, coding not stated</t>
  </si>
  <si>
    <t xml:space="preserve">Nike</t>
  </si>
  <si>
    <t xml:space="preserve">https://leetcode.com/discuss/post/7318007/nike-sde-3-interview-experience-by-anony-xd5y/</t>
  </si>
  <si>
    <t xml:space="preserve">Meesho</t>
  </si>
  <si>
    <t xml:space="preserve">India (Meesho)</t>
  </si>
  <si>
    <t xml:space="preserve">https://leetcode.com/discuss/post/7259276/</t>
  </si>
  <si>
    <t xml:space="preserve">Google</t>
  </si>
  <si>
    <t xml:space="preserve">https://www.jointaro.com/interviews/companies/google/experiences/senior-software-engineer-bengaluru-karnataka-october-5-2025-no-offer-positive-62a5e889/</t>
  </si>
  <si>
    <t xml:space="preserve">trees, graphs, DP mid-high; a platform round, content not stated</t>
  </si>
  <si>
    <t xml:space="preserve">Goldman Sachs</t>
  </si>
  <si>
    <t xml:space="preserve">Vice President</t>
  </si>
  <si>
    <t xml:space="preserve">https://leetcode.com/discuss/post/7253272/#gs</t>
  </si>
  <si>
    <t xml:space="preserve">rejected after round 2</t>
  </si>
  <si>
    <t xml:space="preserve">https://leetcode.com/discuss/post/7240231/flipkart-sde-3-bangalore-6-yoe-by-snkxry-zhy1/</t>
  </si>
  <si>
    <t xml:space="preserve">Expedia</t>
  </si>
  <si>
    <t xml:space="preserve">SDE III (3 teams)</t>
  </si>
  <si>
    <t xml:space="preserve">https://leetcode.com/discuss/post/7253272/#expedia</t>
  </si>
  <si>
    <t xml:space="preserve">position filled x2, rejected x1</t>
  </si>
  <si>
    <t xml:space="preserve">three team screens merged into one row; each was a DSA round</t>
  </si>
  <si>
    <t xml:space="preserve">2025-09</t>
  </si>
  <si>
    <t xml:space="preserve">https://leetcode.com/discuss/post/7333207/salesforce-lmts-india-interview-experien-bb2k/</t>
  </si>
  <si>
    <t xml:space="preserve">https://leetcode.com/discuss/post/7360702/razorpay-lead-software-engineer-bangalor-qkqi/</t>
  </si>
  <si>
    <t xml:space="preserve">Senior SE (PG)</t>
  </si>
  <si>
    <t xml:space="preserve">https://leetcode.com/discuss/post/7179026/paytm-interview-experience-senior-softwa-t66r/</t>
  </si>
  <si>
    <t xml:space="preserve">New Relic</t>
  </si>
  <si>
    <t xml:space="preserve">https://www.jointaro.com/interviews/companies/new-relic/experiences/senior-software-engineer-bengaluru-karnataka-september-1-2025-no-offer-negative-a6110d78/</t>
  </si>
  <si>
    <t xml:space="preserve">one round only: LC-medium two pointers</t>
  </si>
  <si>
    <t xml:space="preserve">https://leetcode.com/discuss/post/7496727/meesho-sde3-interview-india-got-offer-by-v59z/</t>
  </si>
  <si>
    <t xml:space="preserve">Walmart Global Tech</t>
  </si>
  <si>
    <t xml:space="preserve">2025-08</t>
  </si>
  <si>
    <t xml:space="preserve">https://leetcode.com/discuss/post/7185262/#walmart</t>
  </si>
  <si>
    <t xml:space="preserve">7185262</t>
  </si>
  <si>
    <t xml:space="preserve">offer accepted</t>
  </si>
  <si>
    <t xml:space="preserve">Visa</t>
  </si>
  <si>
    <t xml:space="preserve">Staff SE (security + AI)</t>
  </si>
  <si>
    <t xml:space="preserve">https://leetcode.com/discuss/post/7185262/#visa1</t>
  </si>
  <si>
    <t xml:space="preserve">not stated (security team)</t>
  </si>
  <si>
    <t xml:space="preserve">https://leetcode.com/discuss/post/7185262/#visa2</t>
  </si>
  <si>
    <t xml:space="preserve">withdrew</t>
  </si>
  <si>
    <t xml:space="preserve">https://www.jointaro.com/interviews/companies/uber/experiences/senior-software-engineer-bengaluru-august-1-2025-no-offer-positive-2675385c/</t>
  </si>
  <si>
    <t xml:space="preserve">screen: build order from package dependencies (topological sort) in 20 min</t>
  </si>
  <si>
    <t xml:space="preserve">https://leetcode.com/discuss/interview-experience/7049872/</t>
  </si>
  <si>
    <t xml:space="preserve">pending</t>
  </si>
  <si>
    <t xml:space="preserve">Practo</t>
  </si>
  <si>
    <t xml:space="preserve">Software Engineer</t>
  </si>
  <si>
    <t xml:space="preserve">https://leetcode.com/discuss/post/7185262/#practo</t>
  </si>
  <si>
    <t xml:space="preserve">https://www.jointaro.com/interviews/companies/oracle/experiences/principal-software-engineer-india-august-1-2025-no-offer-neutral-bc8f4b35/</t>
  </si>
  <si>
    <t xml:space="preserve">screen: DSA or system knowledge, job scheduler design; 2 technical rounds content not stated; bar raiser</t>
  </si>
  <si>
    <t xml:space="preserve">NetApp</t>
  </si>
  <si>
    <t xml:space="preserve">Software Engineer 3</t>
  </si>
  <si>
    <t xml:space="preserve">https://leetcode.com/discuss/post/7185262/#netapp</t>
  </si>
  <si>
    <t xml:space="preserve">DSA questions mixed into technical rounds with Go, Kubernetes and Postgres questions</t>
  </si>
  <si>
    <t xml:space="preserve">Money Forward</t>
  </si>
  <si>
    <t xml:space="preserve">Senior Fullstack Engineer</t>
  </si>
  <si>
    <t xml:space="preserve">Chennai</t>
  </si>
  <si>
    <t xml:space="preserve">https://leetcode.com/discuss/post/7185262/#moneyforward</t>
  </si>
  <si>
    <t xml:space="preserve">on hold</t>
  </si>
  <si>
    <t xml:space="preserve">JPMorgan Chase</t>
  </si>
  <si>
    <t xml:space="preserve">https://leetcode.com/discuss/post/7185262/#jpmc</t>
  </si>
  <si>
    <t xml:space="preserve">Intuit</t>
  </si>
  <si>
    <t xml:space="preserve">https://www.jointaro.com/interviews/companies/intuit/experiences/senior-software-engineer-bengaluru-august-12-2025-accepted-offer-positive-d72c7f65/</t>
  </si>
  <si>
    <t xml:space="preserve">screen could include DSA; craft round = take-home app + panel; one technical round DSA or LLD or HLD, not stated which</t>
  </si>
  <si>
    <t xml:space="preserve">https://www.jointaro.com/interviews/companies/intuit/experiences/senior-software-engineer-bengaluru-august-1-2025-no-offer-negative-9449598a/</t>
  </si>
  <si>
    <t xml:space="preserve">craft round: filtering logic for a REST API with tests in a provided Git repo (counted as practical coding); AI discussion round</t>
  </si>
  <si>
    <t xml:space="preserve">Black Duck</t>
  </si>
  <si>
    <t xml:space="preserve">https://leetcode.com/discuss/post/7199425/</t>
  </si>
  <si>
    <t xml:space="preserve">Aptiv (Wind River)</t>
  </si>
  <si>
    <t xml:space="preserve">India (multi-company post, LPA)</t>
  </si>
  <si>
    <t xml:space="preserve">https://leetcode.com/discuss/post/7185262/#aptiv</t>
  </si>
  <si>
    <t xml:space="preserve">2025-07</t>
  </si>
  <si>
    <t xml:space="preserve">https://leetcode.com/discuss/interview-experience/7008972/</t>
  </si>
  <si>
    <t xml:space="preserve">Oracle OCI</t>
  </si>
  <si>
    <t xml:space="preserve">SMTS IC3</t>
  </si>
  <si>
    <t xml:space="preserve">https://leetcode.com/discuss/interview-experience/6961982/</t>
  </si>
  <si>
    <t xml:space="preserve">https://www.glassdoor.co.in/Interview/Oracle-Senior-Member-of-Technical-Staff-Interview-Questions-EI_IE1737.0,6_KO7,39.htm#2026-08-14</t>
  </si>
  <si>
    <t xml:space="preserve">system design was an agentic orchestrator</t>
  </si>
  <si>
    <t xml:space="preserve">https://www.jointaro.com/interviews/companies/oracle/experiences/principal-software-engineer-bengaluru-july-3-2025-accepted-offer-positive-6191d5b8/</t>
  </si>
  <si>
    <t xml:space="preserve">2-3 technical rounds, content not stated; mentions concepts, project, code review</t>
  </si>
  <si>
    <t xml:space="preserve">Freshworks</t>
  </si>
  <si>
    <t xml:space="preserve">https://leetcode.com/discuss/interview-experience/7031783/</t>
  </si>
  <si>
    <t xml:space="preserve">2025-06</t>
  </si>
  <si>
    <t xml:space="preserve">https://www.jointaro.com/interviews/companies/walmart/experiences/senior-software-engineer-bengaluru-june-26-2025-no-offer-positive-767ac34d/</t>
  </si>
  <si>
    <t xml:space="preserve">valid parentheses with * wildcard; decode ways; LLD notification system</t>
  </si>
  <si>
    <t xml:space="preserve">https://www.jointaro.com/interviews/companies/visa/experiences/senior-software-engineer-bengaluru-june-10-2025-no-offer-neutral-83a41939/</t>
  </si>
  <si>
    <t xml:space="preserve">2Sum/3Sum/KSum variations; networking + DB + API design; merchant transaction design</t>
  </si>
  <si>
    <t xml:space="preserve">https://www.jointaro.com/interviews/companies/visa/experiences/senior-software-engineer-bengaluru-june-1-2025-no-offer-positive-b0e9c5ca/</t>
  </si>
  <si>
    <t xml:space="preserve">OA only: 4 DSA questions in 70 min, easy to hard</t>
  </si>
  <si>
    <t xml:space="preserve">Reltio</t>
  </si>
  <si>
    <t xml:space="preserve">https://leetcode.com/discuss/post/7248055/</t>
  </si>
  <si>
    <t xml:space="preserve">Atlassian</t>
  </si>
  <si>
    <t xml:space="preserve">Senior SE P50</t>
  </si>
  <si>
    <t xml:space="preserve">India (LPA in companion post 6938751)</t>
  </si>
  <si>
    <t xml:space="preserve">https://leetcode.com/discuss/post/6938816/atlassian-senior-software-engineer-p50-o-4hf6/</t>
  </si>
  <si>
    <t xml:space="preserve">same author as comp post 6938751 (11+ yrs, LPA), posted minutes apart</t>
  </si>
  <si>
    <t xml:space="preserve">L5A Senior SE</t>
  </si>
  <si>
    <t xml:space="preserve">2025-05</t>
  </si>
  <si>
    <t xml:space="preserve">https://leetcode.com/discuss/interview-experience/7043175/</t>
  </si>
  <si>
    <t xml:space="preserve">ServiceNow</t>
  </si>
  <si>
    <t xml:space="preserve">Senior SE IC3</t>
  </si>
  <si>
    <t xml:space="preserve">https://leetcode.com/discuss/post/6683950/</t>
  </si>
  <si>
    <t xml:space="preserve">https://www.jointaro.com/interviews/companies/oracle/experiences/senior-software-engineer-bengaluru-may-1-2025-no-offer-negative-d0dd289f/</t>
  </si>
  <si>
    <t xml:space="preserve">topics: LRU cache, stacks, tree traversals; candidate called them tough</t>
  </si>
  <si>
    <t xml:space="preserve">https://www.jointaro.com/interviews/companies/google/experiences/senior-software-engineer-bengaluru-may-21-2025-no-offer-neutral-c1ec91f1/</t>
  </si>
  <si>
    <t xml:space="preserve">DSA round count not stated; reviewer called difficulty very high</t>
  </si>
  <si>
    <t xml:space="preserve">Deliveroo</t>
  </si>
  <si>
    <t xml:space="preserve">L6 Staff Engineer</t>
  </si>
  <si>
    <t xml:space="preserve">https://leetcode.com/discuss/post/6857757/deliveroo-interview-experience-l6-staff-wmn08/</t>
  </si>
  <si>
    <t xml:space="preserve">offer declined</t>
  </si>
  <si>
    <t xml:space="preserve">OA had practical coding (rate limiter, REST API); DSA round was a design-a-data-structure problem (session auth, like LC 1797); VP asked about using AI to boost team productivity</t>
  </si>
  <si>
    <t xml:space="preserve">2025-04</t>
  </si>
  <si>
    <t xml:space="preserve">https://www.jointaro.com/interviews/companies/walmart/experiences/senior-software-engineer-bengaluru-april-21-2025-accepted-offer-positive-8d556041/</t>
  </si>
  <si>
    <t xml:space="preserve">reverse linked list, LRU cache, sliding window; then behavioral and leadership rounds</t>
  </si>
  <si>
    <t xml:space="preserve">L5A</t>
  </si>
  <si>
    <t xml:space="preserve">https://leetcode.com/discuss/post/6840488/#uber</t>
  </si>
  <si>
    <t xml:space="preserve">6840488</t>
  </si>
  <si>
    <t xml:space="preserve">https://www.glassdoor.co.in/Interview/Salesforce-Lead-Software-Engineer-Interview-Questions-EI_IE11159.0,10_KO11,33.htm#2025-05-20</t>
  </si>
  <si>
    <t xml:space="preserve">review date May 2025, interview month not stated</t>
  </si>
  <si>
    <t xml:space="preserve">Postman</t>
  </si>
  <si>
    <t xml:space="preserve">Senior Engineer</t>
  </si>
  <si>
    <t xml:space="preserve">India (poster at an India-based company; Postman eng in Bangalore)</t>
  </si>
  <si>
    <t xml:space="preserve">https://leetcode.com/discuss/post/6747306/</t>
  </si>
  <si>
    <t xml:space="preserve">rejected (product experience)</t>
  </si>
  <si>
    <t xml:space="preserve">IC3</t>
  </si>
  <si>
    <t xml:space="preserve">https://leetcode.com/discuss/post/6651621/</t>
  </si>
  <si>
    <t xml:space="preserve">Coupang</t>
  </si>
  <si>
    <t xml:space="preserve">L5</t>
  </si>
  <si>
    <t xml:space="preserve">https://leetcode.com/discuss/post/6840488/#coupang</t>
  </si>
  <si>
    <t xml:space="preserve">Confluent</t>
  </si>
  <si>
    <t xml:space="preserve">https://leetcode.com/discuss/post/6974811/</t>
  </si>
  <si>
    <t xml:space="preserve">offer on hold</t>
  </si>
  <si>
    <t xml:space="preserve">2025-03</t>
  </si>
  <si>
    <t xml:space="preserve">https://www.jointaro.com/interviews/companies/visa/experiences/senior-software-engineer-bengaluru-march-5-2025-accepted-offer-positive-c0b64347/</t>
  </si>
  <si>
    <t xml:space="preserve">3-4 rounds, mostly technical; DSA and project questions, split per round not stated</t>
  </si>
  <si>
    <t xml:space="preserve">https://www.glassdoor.co.in/Interview/Oracle-Senior-Member-of-Technical-Staff-Interview-Questions-EI_IE1737.0,6_KO7,39.htm#2026-08-28</t>
  </si>
  <si>
    <t xml:space="preserve">https://www.jointaro.com/interviews/companies/oracle/experiences/senior-software-engineer-bengaluru-march-1-2025-no-offer-negative-434d05e0/</t>
  </si>
  <si>
    <t xml:space="preserve">Target</t>
  </si>
  <si>
    <t xml:space="preserve">2025-02</t>
  </si>
  <si>
    <t xml:space="preserve">https://leetcode.com/discuss/interview-experience/6420594/Target-or-L5-or-Bengaluru-0ffer-Feb-13</t>
  </si>
  <si>
    <t xml:space="preserve">hire</t>
  </si>
  <si>
    <t xml:space="preserve">IBM</t>
  </si>
  <si>
    <t xml:space="preserve">https://www.jointaro.com/interviews/companies/ibm/experiences/senior-software-engineer-bengaluru-february-21-2025-accepted-offer-positive-2c8f1d49/</t>
  </si>
  <si>
    <t xml:space="preserve">two 1-hour coding rounds (easy, medium) described as programming-based, not clearly DSA</t>
  </si>
  <si>
    <t xml:space="preserve">https://www.jointaro.com/interviews/companies/google/experiences/senior-software-engineer-bengaluru-february-1-2025-no-offer-positive-db445722/</t>
  </si>
  <si>
    <t xml:space="preserve">phone screen hard DSA; scenario problem with priority queue and classes</t>
  </si>
  <si>
    <t xml:space="preserve">Amazon</t>
  </si>
  <si>
    <t xml:space="preserve">Senior SE (as listed)</t>
  </si>
  <si>
    <t xml:space="preserve">https://www.jointaro.com/interviews/companies/amazon/experiences/senior-software-engineer-bengaluru-february-1-2025-declined-offer-positive-bb35ad30/</t>
  </si>
  <si>
    <t xml:space="preserve">offer (declined)</t>
  </si>
  <si>
    <t xml:space="preserve">LLD: pizza cost</t>
  </si>
  <si>
    <t xml:space="preserve">2025-01</t>
  </si>
  <si>
    <t xml:space="preserve">https://leetcode.com/discuss/interview-experience/6467386/WalMart-SDE-III-or-Bangalore/</t>
  </si>
  <si>
    <t xml:space="preserve">https://www.jointaro.com/interviews/companies/walmart/experiences/senior-software-engineer-bengaluru-january-1-2025-declined-offer-negative-1a3813e1/</t>
  </si>
  <si>
    <t xml:space="preserve">https://leetcode.com/discuss/post/6303697/VISA-or-Senior-Software-Engineer-(Sr.-SW-Engineer)-or-Bangalore-or-Jan-2025-Reject/</t>
  </si>
  <si>
    <t xml:space="preserve">rejected after round 1</t>
  </si>
  <si>
    <t xml:space="preserve">Salesforce (post says IC3 at OCI)</t>
  </si>
  <si>
    <t xml:space="preserve">https://leetcode.com/discuss/interview-experience/6321318/Salesforce-or-SMTS-or-Awaited/</t>
  </si>
  <si>
    <t xml:space="preserve">2025</t>
  </si>
  <si>
    <t xml:space="preserve">https://leetcode.com/discuss/post/7292727/interview-experience-for-uber-l5a-by-ano-r4kt/</t>
  </si>
  <si>
    <t xml:space="preserve">https://leetcode.com/discuss/post/7359766/jpmorgan-chase-sde-3-java-full-stack-dev-rxak/</t>
  </si>
  <si>
    <t xml:space="preserve">downlevel offer declined</t>
  </si>
  <si>
    <t xml:space="preserve">https://leetcode.com/discuss/post/7124593/</t>
  </si>
  <si>
    <t xml:space="preserve">https://leetcode.com/discuss/post/7171528/intuit-interview-expereince-senior-softw-bd8i/</t>
  </si>
  <si>
    <t xml:space="preserve">2024-12</t>
  </si>
  <si>
    <t xml:space="preserve">https://www.jointaro.com/interviews/companies/walmart/experiences/senior-software-engineer-bengaluru-december-17-2024-no-offer-neutral-b651ad58/</t>
  </si>
  <si>
    <t xml:space="preserve">one timed round: segment tree range query + reverse part of linked list, both required</t>
  </si>
  <si>
    <t xml:space="preserve">Senior SDE</t>
  </si>
  <si>
    <t xml:space="preserve">https://leetcode.com/discuss/interview-experience/6105121/PhonePe-Senior-SDE-bengaluru-Exp-7+/</t>
  </si>
  <si>
    <t xml:space="preserve">Groww</t>
  </si>
  <si>
    <t xml:space="preserve">India (Groww)</t>
  </si>
  <si>
    <t xml:space="preserve">https://leetcode.com/discuss/post/6674506/</t>
  </si>
  <si>
    <t xml:space="preserve">hired</t>
  </si>
  <si>
    <t xml:space="preserve">2024-11</t>
  </si>
  <si>
    <t xml:space="preserve">https://leetcode.com/discuss/interview-experience/6297389/Salesforce-or-SMTS-or-Hyderabad-or-Jan-2025-offer</t>
  </si>
  <si>
    <t xml:space="preserve">YoE stated as 5+</t>
  </si>
  <si>
    <t xml:space="preserve">PayPal</t>
  </si>
  <si>
    <t xml:space="preserve">Senior SE (SDE3)</t>
  </si>
  <si>
    <t xml:space="preserve">https://leetcode.com/discuss/interview-experience/6050840/Paypal-or-Senior-Software-Engineer-or-SDE3-or-Chennai</t>
  </si>
  <si>
    <t xml:space="preserve">https://www.jointaro.com/interviews/companies/google/experiences/senior-software-engineer-bengaluru-november-1-2024-declined-offer-neutral-577337fa/</t>
  </si>
  <si>
    <t xml:space="preserve">mostly standard LeetCode, round count not stated</t>
  </si>
  <si>
    <t xml:space="preserve">https://www.jointaro.com/interviews/companies/amazon/experiences/senior-software-engineer-bengaluru-november-15-2024-no-offer-negative-0d24501d/</t>
  </si>
  <si>
    <t xml:space="preserve">DSA with multithreading; behavioral on failures</t>
  </si>
  <si>
    <t xml:space="preserve">Navan</t>
  </si>
  <si>
    <t xml:space="preserve">2024-10</t>
  </si>
  <si>
    <t xml:space="preserve">https://leetcode.com/discuss/post/6157051/</t>
  </si>
  <si>
    <t xml:space="preserve">not finished</t>
  </si>
  <si>
    <t xml:space="preserve">How this was built</t>
  </si>
  <si>
    <t xml:space="preserve">Question</t>
  </si>
  <si>
    <t xml:space="preserve">Om (12 yrs, backend/platform, India) asked: at my level, in the last 2 years, how many real interview loops include DSA? Need 100+ rows, each with a link.</t>
  </si>
  <si>
    <t xml:space="preserve">Window</t>
  </si>
  <si>
    <t xml:space="preserve">Interview or post date Oct 2024 to Oct 2026.</t>
  </si>
  <si>
    <t xml:space="preserve">Kept</t>
  </si>
  <si>
    <t xml:space="preserve">India location or an India-only employer (city, LPA/INR, Indian company); senior title (Senior/SDE3/Lead/Staff/Principal/SMTS/LMTS/IC3+) or 6+ yrs; software engineering role (not QA, support, desktop C++); at least one round described.</t>
  </si>
  <si>
    <t xml:space="preserve">Candidate stopped early. Kept only when DSA was seen, because a stopped loop cannot show that DSA was absent. So partial loops are 100% DSA by rule. Use the "Complete loops" line as the honest number.</t>
  </si>
  <si>
    <t xml:space="preserve">Dedupe</t>
  </si>
  <si>
    <t xml:space="preserve">One author posting several companies = separate loops (tagged in "Same-author tag"). Same author + same company twice = counted once. Glassdoor and Taro mirror each other; one known mirror was dropped.</t>
  </si>
  <si>
    <t xml:space="preserve">Excluded</t>
  </si>
  <si>
    <t xml:space="preserve">See the Excluded sheet: every rejected link with its reason (below level, outside India, no rounds, before Oct 2024, deleted, etc.). Microsoft was left out as in the earlier quick study.</t>
  </si>
  <si>
    <t xml:space="preserve">Yes = at least one round (online test or live) asked a LeetCode-style algorithm or data-structure problem. A practical build task (machine coding, LLD with code, REST API in a repo) is NOT counted as DSA. Unclear = a round said only "technical" with no content.</t>
  </si>
  <si>
    <t xml:space="preserve">Month from the post title or text when given; else the post date; for undated LeetCode posts, estimated from the post number (used only to check the window).</t>
  </si>
  <si>
    <t xml:space="preserve">Sources</t>
  </si>
  <si>
    <t xml:space="preserve">LeetCode Discuss (most rows), Taro (jointaro.com interview pages), Glassdoor single reviews. Each row links to its source.</t>
  </si>
  <si>
    <t xml:space="preserve">Spot-check</t>
  </si>
  <si>
    <t xml:space="preserve">8 random rows re-read against the source on 2026-10-14 with a neutral prompt: DSA yes/no matched 8 of 8. Round counts matched; 2 dates are post-number estimates, 1 India signal is employer-based.</t>
  </si>
  <si>
    <t xml:space="preserve">Limits</t>
  </si>
  <si>
    <t xml:space="preserve">Self-reported posts. People who write on LeetCode may be more DSA-focused; the Taro + Glassdoor line is the check on that. Only 13 rows state 8+ yrs, so the 8+ share has a wide error range. YoE is missing in about half the rows.</t>
  </si>
  <si>
    <t xml:space="preserve">Reason</t>
  </si>
  <si>
    <t xml:space="preserve">https://leetcode.com/discuss/post/8293408/</t>
  </si>
  <si>
    <t xml:space="preserve">location not stated (Atlassian P50)</t>
  </si>
  <si>
    <t xml:space="preserve">https://leetcode.com/discuss/interview-experience/6489221/</t>
  </si>
  <si>
    <t xml:space="preserve">location not stated (Nutanix MTS-4)</t>
  </si>
  <si>
    <t xml:space="preserve">https://leetcode.com/discuss/post/7725248/</t>
  </si>
  <si>
    <t xml:space="preserve">location not stated (eBay SDE-3)</t>
  </si>
  <si>
    <t xml:space="preserve">https://leetcode.com/discuss/post/8546012/</t>
  </si>
  <si>
    <t xml:space="preserve">location not stated (HackerRank senior backend, AI-assisted coding round)</t>
  </si>
  <si>
    <t xml:space="preserve">https://leetcode.com/discuss/post/8569781/</t>
  </si>
  <si>
    <t xml:space="preserve">below level, MTS 3.3 yrs (Adobe)</t>
  </si>
  <si>
    <t xml:space="preserve">https://leetcode.com/discuss/post/7947916/</t>
  </si>
  <si>
    <t xml:space="preserve">below level (Rubrik 2.5 yrs)</t>
  </si>
  <si>
    <t xml:space="preserve">https://leetcode.com/discuss/post/8524180/</t>
  </si>
  <si>
    <t xml:space="preserve">below level SDE2 targets</t>
  </si>
  <si>
    <t xml:space="preserve">https://leetcode.com/discuss/post/6774570/</t>
  </si>
  <si>
    <t xml:space="preserve">location not stated (Cohesity MTS-3, 2 yrs)</t>
  </si>
  <si>
    <t xml:space="preserve">https://leetcode.com/discuss/post/8509983/</t>
  </si>
  <si>
    <t xml:space="preserve">below level (Uber SDE II)</t>
  </si>
  <si>
    <t xml:space="preserve">https://leetcode.com/discuss/post/7614788/</t>
  </si>
  <si>
    <t xml:space="preserve">below level (Databricks SDE-II)</t>
  </si>
  <si>
    <t xml:space="preserve">https://leetcode.com/discuss/post/6954860/</t>
  </si>
  <si>
    <t xml:space="preserve">below level (Target SE 2 yrs)</t>
  </si>
  <si>
    <t xml:space="preserve">https://leetcode.com/discuss/post/8076680/</t>
  </si>
  <si>
    <t xml:space="preserve">no rounds (Okta comp post)</t>
  </si>
  <si>
    <t xml:space="preserve">https://leetcode.com/discuss/post/7321156/</t>
  </si>
  <si>
    <t xml:space="preserve">no rounds</t>
  </si>
  <si>
    <t xml:space="preserve">https://leetcode.com/discuss/post/7240265/</t>
  </si>
  <si>
    <t xml:space="preserve">https://leetcode.com/discuss/post/7165974/</t>
  </si>
  <si>
    <t xml:space="preserve">https://leetcode.com/discuss/post/7357386/</t>
  </si>
  <si>
    <t xml:space="preserve">https://leetcode.com/discuss/post/7166280/</t>
  </si>
  <si>
    <t xml:space="preserve">https://leetcode.com/discuss/post/7683411/</t>
  </si>
  <si>
    <t xml:space="preserve">https://leetcode.com/discuss/post/8346937/</t>
  </si>
  <si>
    <t xml:space="preserve">post deleted</t>
  </si>
  <si>
    <t xml:space="preserve">glassdoor Razorpay RVW96524604 RVW95101845 RVW93979110 + list</t>
  </si>
  <si>
    <t xml:space="preserve">level or date not pinned; trend only</t>
  </si>
  <si>
    <t xml:space="preserve">glassdoor Nutanix RVW97520827</t>
  </si>
  <si>
    <t xml:space="preserve">QA role</t>
  </si>
  <si>
    <t xml:space="preserve">https://leetcode.com/discuss/post/8373008/</t>
  </si>
  <si>
    <t xml:space="preserve">MTS not senior, 3 yrs (Salesforce)</t>
  </si>
  <si>
    <t xml:space="preserve">https://leetcode.com/discuss/post/7318007/#loop1</t>
  </si>
  <si>
    <t xml:space="preserve">incomplete loop, one HLD round only (Nike team 1)</t>
  </si>
  <si>
    <t xml:space="preserve">https://leetcode.com/discuss/interview-experience/6399510/</t>
  </si>
  <si>
    <t xml:space="preserve">location not stated (Atlassian P50 Jan 2025)</t>
  </si>
  <si>
    <t xml:space="preserve">https://leetcode.com/discuss/interview-experience/6344788/</t>
  </si>
  <si>
    <t xml:space="preserve">location not stated (Atlassian Senior SE)</t>
  </si>
  <si>
    <t xml:space="preserve">https://leetcode.com/discuss/post/8477884/#microsoft</t>
  </si>
  <si>
    <t xml:space="preserve">Microsoft excluded</t>
  </si>
  <si>
    <t xml:space="preserve">https://leetcode.com/discuss/post/6749919/</t>
  </si>
  <si>
    <t xml:space="preserve">below level (ServiceNow IC2, 2.5 yrs)</t>
  </si>
  <si>
    <t xml:space="preserve">https://leetcode.com/discuss/interview-experience/6462165/</t>
  </si>
  <si>
    <t xml:space="preserve">below level (ServiceNow SDE 2.4 yrs)</t>
  </si>
  <si>
    <t xml:space="preserve">https://leetcode.com/discuss/post/6475013/</t>
  </si>
  <si>
    <t xml:space="preserve">no rounds (ServiceNow comp)</t>
  </si>
  <si>
    <t xml:space="preserve">https://leetcode.com/discuss/interview-experience/6819770/</t>
  </si>
  <si>
    <t xml:space="preserve">desktop C++ role, not backend (Adobe CS1 Illustrator)</t>
  </si>
  <si>
    <t xml:space="preserve">https://leetcode.com/discuss/interview-experience/6743598/</t>
  </si>
  <si>
    <t xml:space="preserve">location not stated (Adobe CS1)</t>
  </si>
  <si>
    <t xml:space="preserve">https://leetcode.com/discuss/post/7407389/</t>
  </si>
  <si>
    <t xml:space="preserve">below level (Eternal SDE-I)</t>
  </si>
  <si>
    <t xml:space="preserve">https://leetcode.com/discuss/post/8331559/</t>
  </si>
  <si>
    <t xml:space="preserve">below level (Blinkit SDE-1)</t>
  </si>
  <si>
    <t xml:space="preserve">https://leetcode.com/discuss/post/7192540/</t>
  </si>
  <si>
    <t xml:space="preserve">below level (Walmart SE III, 3 yrs; SE III is mid level)</t>
  </si>
  <si>
    <t xml:space="preserve">https://leetcode.com/discuss/interview-experience/7039649/</t>
  </si>
  <si>
    <t xml:space="preserve">Walmart SE III, YoE not stated; SE III is mid level</t>
  </si>
  <si>
    <t xml:space="preserve">https://leetcode.com/discuss/post/8289157/</t>
  </si>
  <si>
    <t xml:space="preserve">4 yrs, mostly services/consulting firms, most rounds unspecified; note BCG X ran a 2-hour AI-assisted build round (Cursor/Codex allowed)</t>
  </si>
  <si>
    <t xml:space="preserve">https://leetcode.com/discuss/post/7784812/</t>
  </si>
  <si>
    <t xml:space="preserve">index of links, SDE-2 level, no rounds</t>
  </si>
  <si>
    <t xml:space="preserve">https://leetcode.com/discuss/interview-experience/6829933/</t>
  </si>
  <si>
    <t xml:space="preserve">below level (Rippling SDE-1)</t>
  </si>
  <si>
    <t xml:space="preserve">https://leetcode.com/discuss/post/8521771/</t>
  </si>
  <si>
    <t xml:space="preserve">no rounds (Stripe L5 offer)</t>
  </si>
  <si>
    <t xml:space="preserve">https://leetcode.com/discuss/post/7052204/</t>
  </si>
  <si>
    <t xml:space="preserve">below level (2 yrs)</t>
  </si>
  <si>
    <t xml:space="preserve">glassdoor Salesforce SMTS 2025-09-13</t>
  </si>
  <si>
    <t xml:space="preserve">interview Aug 2023, frontend</t>
  </si>
  <si>
    <t xml:space="preserve">glassdoor Salesforce SMTS 2025-02-21</t>
  </si>
  <si>
    <t xml:space="preserve">QA/automation role, location not stated</t>
  </si>
  <si>
    <t xml:space="preserve">glassdoor Nutanix SMTS 2025-01-17</t>
  </si>
  <si>
    <t xml:space="preserve">location not stated</t>
  </si>
  <si>
    <t xml:space="preserve">glassdoor VMware SMTS page</t>
  </si>
  <si>
    <t xml:space="preserve">no reviews after Oct 2024</t>
  </si>
  <si>
    <t xml:space="preserve">glassdoor Intuit Staff x3 (2026)</t>
  </si>
  <si>
    <t xml:space="preserve">US or location not stated; trend: take-home with AI integration, TinyLlama coding task, RAG and agent questions</t>
  </si>
  <si>
    <t xml:space="preserve">glassdoor Salesforce Lead SE 2025-02-05</t>
  </si>
  <si>
    <t xml:space="preserve">no rounds, location not stated</t>
  </si>
  <si>
    <t xml:space="preserve">glassdoor Salesforce Lead SE 2025-02-03</t>
  </si>
  <si>
    <t xml:space="preserve">interview Mar 2024</t>
  </si>
  <si>
    <t xml:space="preserve">https://leetcode.com/discuss/interview-experience/6283963/</t>
  </si>
  <si>
    <t xml:space="preserve">location not stated (Uber SSE)</t>
  </si>
  <si>
    <t xml:space="preserve">https://leetcode.com/discuss/post/6840488/#uber-oa</t>
  </si>
  <si>
    <t xml:space="preserve">OA only, level not stated</t>
  </si>
  <si>
    <t xml:space="preserve">https://leetcode.com/discuss/post/7200743/</t>
  </si>
  <si>
    <t xml:space="preserve">location not stated (Rippling Senior SE); note Copilot enabled in the coding round</t>
  </si>
  <si>
    <t xml:space="preserve">https://leetcode.com/discuss/post/6318948/</t>
  </si>
  <si>
    <t xml:space="preserve">only machine coding reported, location not stated</t>
  </si>
  <si>
    <t xml:space="preserve">https://leetcode.com/discuss/post/7124533/</t>
  </si>
  <si>
    <t xml:space="preserve">one round, no detail (Zscaler)</t>
  </si>
  <si>
    <t xml:space="preserve">https://leetcode.com/discuss/post/6170246/</t>
  </si>
  <si>
    <t xml:space="preserve">location not stated (Okta SSE 4.3 yrs)</t>
  </si>
  <si>
    <t xml:space="preserve">https://leetcode.com/discuss/interview-experience/6323099/</t>
  </si>
  <si>
    <t xml:space="preserve">below level (Cisco SDE 3 yrs)</t>
  </si>
  <si>
    <t xml:space="preserve">https://leetcode.com/discuss/post/7406873/</t>
  </si>
  <si>
    <t xml:space="preserve">https://leetcode.com/discuss/post/7415867/</t>
  </si>
  <si>
    <t xml:space="preserve">below level (CRED SDE-1)</t>
  </si>
  <si>
    <t xml:space="preserve">https://leetcode.com/discuss/interview-experience/6846218/</t>
  </si>
  <si>
    <t xml:space="preserve">location not stated (Sprinklr senior product engineer)</t>
  </si>
  <si>
    <t xml:space="preserve">Agoda posts</t>
  </si>
  <si>
    <t xml:space="preserve">Bangkok, not India</t>
  </si>
  <si>
    <t xml:space="preserve">https://leetcode.com/discuss/post/7289927/</t>
  </si>
  <si>
    <t xml:space="preserve">below level (Expedia SDE-2)</t>
  </si>
  <si>
    <t xml:space="preserve">https://leetcode.com/discuss/post/6859065/</t>
  </si>
  <si>
    <t xml:space="preserve">Bangkok (Agoda)</t>
  </si>
  <si>
    <t xml:space="preserve">https://leetcode.com/discuss/post/6741948/</t>
  </si>
  <si>
    <t xml:space="preserve">no rounds (Goldman Sachs VP comp)</t>
  </si>
  <si>
    <t xml:space="preserve">https://leetcode.com/discuss/post/7377796/</t>
  </si>
  <si>
    <t xml:space="preserve">location not stated (Tide SDE3, 5 yrs; code review + HM only, no DSA)</t>
  </si>
  <si>
    <t xml:space="preserve">https://leetcode.com/discuss/post/6920335/</t>
  </si>
  <si>
    <t xml:space="preserve">location not stated (Safe Security SDE-3, 9 yrs; DSA yes)</t>
  </si>
  <si>
    <t xml:space="preserve">https://leetcode.com/discuss/post/7568444/</t>
  </si>
  <si>
    <t xml:space="preserve">MTS not senior (Salesforce)</t>
  </si>
  <si>
    <t xml:space="preserve">https://leetcode.com/discuss/post/6274356/</t>
  </si>
  <si>
    <t xml:space="preserve">below level (Mastercard SDE2)</t>
  </si>
  <si>
    <t xml:space="preserve">https://leetcode.com/discuss/post/6283029/</t>
  </si>
  <si>
    <t xml:space="preserve">interview before Oct 2024 (Reliaquest, offer Sep 2024)</t>
  </si>
  <si>
    <t xml:space="preserve">glassdoor Uber Senior SE 2026-06-20, 2026-06-05</t>
  </si>
  <si>
    <t xml:space="preserve">glassdoor Atlassian Senior SE x3</t>
  </si>
  <si>
    <t xml:space="preserve">location not stated or Istanbul</t>
  </si>
  <si>
    <t xml:space="preserve">glassdoor Walmart GT Senior SE x3</t>
  </si>
  <si>
    <t xml:space="preserve">US locations</t>
  </si>
  <si>
    <t xml:space="preserve">glassdoor Walmart GT Staff x3</t>
  </si>
  <si>
    <t xml:space="preserve">US, or rounds unspecified (Bangalore Rural)</t>
  </si>
  <si>
    <t xml:space="preserve">glassdoor PhonePe Senior SE x2</t>
  </si>
  <si>
    <t xml:space="preserve">interview Apr 2024, or HR call only</t>
  </si>
  <si>
    <t xml:space="preserve">glassdoor Flipkart SDE III page</t>
  </si>
  <si>
    <t xml:space="preserve">https://leetcode.com/discuss/post/6707615/</t>
  </si>
  <si>
    <t xml:space="preserve">location not stated (Intuit Senior SE 6.7 yrs; had AI-assisted coding with an LLM API and AI concepts rounds)</t>
  </si>
  <si>
    <t xml:space="preserve">https://leetcode.com/discuss/post/6695262/</t>
  </si>
  <si>
    <t xml:space="preserve">level and location not stated (Freshworks)</t>
  </si>
  <si>
    <t xml:space="preserve">https://leetcode.com/discuss/interview-experience/7145692/</t>
  </si>
  <si>
    <t xml:space="preserve">below level (Wells Fargo SDE I)</t>
  </si>
  <si>
    <t xml:space="preserve">https://leetcode.com/discuss/post/7542688/</t>
  </si>
  <si>
    <t xml:space="preserve">location not stated (Nvidia Senior SE)</t>
  </si>
  <si>
    <t xml:space="preserve">https://leetcode.com/discuss/post/6476419/</t>
  </si>
  <si>
    <t xml:space="preserve">no rounds (Qualcomm comp)</t>
  </si>
  <si>
    <t xml:space="preserve">https://leetcode.com/discuss/post/7054525/</t>
  </si>
  <si>
    <t xml:space="preserve">below level (Amex Engineer II)</t>
  </si>
  <si>
    <t xml:space="preserve">https://leetcode.com/discuss/post/6912425/</t>
  </si>
  <si>
    <t xml:space="preserve">below level, location not stated (Lowes SE 3 yrs)</t>
  </si>
  <si>
    <t xml:space="preserve">https://leetcode.com/discuss/post/8293030/</t>
  </si>
  <si>
    <t xml:space="preserve">location not stated (Tekion Staff 8+ yrs; DSA yes)</t>
  </si>
  <si>
    <t xml:space="preserve">https://leetcode.com/discuss/post/6839272/</t>
  </si>
  <si>
    <t xml:space="preserve">no rounds (Visa Staff)</t>
  </si>
  <si>
    <t xml:space="preserve">https://leetcode.com/discuss/post/7414036/</t>
  </si>
  <si>
    <t xml:space="preserve">rounds not broken down (Roku senior SRE, 8+ yrs; system design + incident/K8s focus)</t>
  </si>
  <si>
    <t xml:space="preserve">https://leetcode.com/discuss/interview-experience/6651036/</t>
  </si>
  <si>
    <t xml:space="preserve">partial loop without DSA observed (Razorpay Senior SE 2.8 yrs: machine coding then HLD)</t>
  </si>
  <si>
    <t xml:space="preserve">https://leetcode.com/discuss/post/7185262/#publicis</t>
  </si>
  <si>
    <t xml:space="preserve">services/consulting firm</t>
  </si>
  <si>
    <t xml:space="preserve">https://leetcode.com/discuss/post/8428653/prep-and-interview-exp-for-seniorstaff-l-ki4x/#licious</t>
  </si>
  <si>
    <t xml:space="preserve">two rounds, no DSA seen, outcome unknown (inconclusive)</t>
  </si>
  <si>
    <t xml:space="preserve">https://leetcode.com/discuss/post/8428653/prep-and-interview-exp-for-seniorstaff-l-ki4x/#firstclub</t>
  </si>
  <si>
    <t xml:space="preserve">take-home only</t>
  </si>
  <si>
    <t xml:space="preserve">https://leetcode.com/discuss/post/8428653/prep-and-interview-exp-for-seniorstaff-l-ki4x/#amazon</t>
  </si>
  <si>
    <t xml:space="preserve">FAANG excluded</t>
  </si>
  <si>
    <t xml:space="preserve">https://leetcode.com/discuss/post/8428653/prep-and-interview-exp-for-seniorstaff-l-ki4x/#rippling</t>
  </si>
  <si>
    <t xml:space="preserve">https://leetcode.com/discuss/post/7568338/</t>
  </si>
  <si>
    <t xml:space="preserve">Walmart SWE-3 2.5 yrs (mid level)</t>
  </si>
  <si>
    <t xml:space="preserve">https://leetcode.com/discuss/post/7557196/</t>
  </si>
  <si>
    <t xml:space="preserve">location not stated, rounds not detailed (DoorDash, Airbnb)</t>
  </si>
  <si>
    <t xml:space="preserve">https://leetcode.com/discuss/post/7472697/</t>
  </si>
  <si>
    <t xml:space="preserve">no loops</t>
  </si>
  <si>
    <t xml:space="preserve">https://leetcode.com/discuss/post/6653228/</t>
  </si>
  <si>
    <t xml:space="preserve">comp only, 2.5 yrs</t>
  </si>
  <si>
    <t xml:space="preserve">https://leetcode.com/discuss/post/7851087/</t>
  </si>
  <si>
    <t xml:space="preserve">location not stated (EightFold AI senior; 1 AI-assisted coding round with Claude in VS Code)</t>
  </si>
  <si>
    <t xml:space="preserve">https://leetcode.com/discuss/post/8533355/</t>
  </si>
  <si>
    <t xml:space="preserve">page empty</t>
  </si>
  <si>
    <t xml:space="preserve">https://leetcode.com/discuss/post/7649290/</t>
  </si>
  <si>
    <t xml:space="preserve">San Francisco (Rippling; AI tools allowed in all coding rounds)</t>
  </si>
  <si>
    <t xml:space="preserve">https://leetcode.com/discuss/post/5920164/</t>
  </si>
  <si>
    <t xml:space="preserve">posted before Oct 2024 (PayPal Senior SE)</t>
  </si>
  <si>
    <t xml:space="preserve">https://leetcode.com/discuss/post/7239858/</t>
  </si>
  <si>
    <t xml:space="preserve">Goldman Sachs Associate, 3 yrs (mid level)</t>
  </si>
  <si>
    <t xml:space="preserve">https://leetcode.com/discuss/post/7199383/</t>
  </si>
  <si>
    <t xml:space="preserve">https://leetcode.com/discuss/post/6752522/</t>
  </si>
  <si>
    <t xml:space="preserve">Goldman Sachs Associate, 2.75 yrs (mid level)</t>
  </si>
  <si>
    <t xml:space="preserve">https://leetcode.com/discuss/post/6777801/</t>
  </si>
  <si>
    <t xml:space="preserve">below level, location not stated (Rubrik G5, 1 yr)</t>
  </si>
  <si>
    <t xml:space="preserve">https://leetcode.com/discuss/post/7629615/</t>
  </si>
  <si>
    <t xml:space="preserve">below level (Rubrik SDE-2)</t>
  </si>
  <si>
    <t xml:space="preserve">https://leetcode.com/discuss/interview-experience/7197132/</t>
  </si>
  <si>
    <t xml:space="preserve">below level (Swiggy SDE-2)</t>
  </si>
  <si>
    <t xml:space="preserve">https://leetcode.com/discuss/interview-experience/7099587/</t>
  </si>
  <si>
    <t xml:space="preserve">location not stated (Atlassian P50 6 yrs)</t>
  </si>
  <si>
    <t xml:space="preserve">https://leetcode.com/discuss/interview-experience/7114235/</t>
  </si>
  <si>
    <t xml:space="preserve">location not stated (Atlassian principal P50)</t>
  </si>
  <si>
    <t xml:space="preserve">https://leetcode.com/discuss/post/8482149/</t>
  </si>
  <si>
    <t xml:space="preserve">no rounds (Adobe CS1 offer)</t>
  </si>
  <si>
    <t xml:space="preserve">https://leetcode.com/discuss/post/7253272/#microsoft</t>
  </si>
  <si>
    <t xml:space="preserve">https://leetcode.com/discuss/post/7199827/</t>
  </si>
  <si>
    <t xml:space="preserve">location not stated (PayPal Senior SE Python)</t>
  </si>
  <si>
    <t xml:space="preserve">https://leetcode.com/discuss/post/6912254/</t>
  </si>
  <si>
    <t xml:space="preserve">location not stated (Oracle IC4; had an AI/ML experience question)</t>
  </si>
  <si>
    <t xml:space="preserve">https://leetcode.com/discuss/post/6413423/</t>
  </si>
  <si>
    <t xml:space="preserve">no rounds (Coinbase IC4 comp)</t>
  </si>
  <si>
    <t xml:space="preserve">https://leetcode.com/discuss/post/6634496/</t>
  </si>
  <si>
    <t xml:space="preserve">no rounds (comp)</t>
  </si>
  <si>
    <t xml:space="preserve">https://leetcode.com/discuss/post/8480569/</t>
  </si>
  <si>
    <t xml:space="preserve">partial, OA content not stated (Wise backend, Hyderabad; pair programming circuit breaker)</t>
  </si>
  <si>
    <t xml:space="preserve">https://leetcode.com/discuss/post/8269557/</t>
  </si>
  <si>
    <t xml:space="preserve">location not stated (Sprinklr SSE backend; DSA yes)</t>
  </si>
  <si>
    <t xml:space="preserve">https://leetcode.com/discuss/post/8482394/</t>
  </si>
  <si>
    <t xml:space="preserve">one round of seven described, location not stated (Atlassian infra; SRE craft round)</t>
  </si>
  <si>
    <t xml:space="preserve">https://leetcode.com/discuss/post/7000178/</t>
  </si>
  <si>
    <t xml:space="preserve">below level, title not stated (Arista 4.5 yrs)</t>
  </si>
  <si>
    <t xml:space="preserve">https://leetcode.com/discuss/post/7619394/</t>
  </si>
  <si>
    <t xml:space="preserve">location not stated (Salesforce SMTS 5 yrs)</t>
  </si>
  <si>
    <t xml:space="preserve">https://leetcode.com/discuss/post/7936031/</t>
  </si>
  <si>
    <t xml:space="preserve">MTS not senior</t>
  </si>
  <si>
    <t xml:space="preserve">https://leetcode.com/discuss/post/7561138/</t>
  </si>
  <si>
    <t xml:space="preserve">https://leetcode.com/discuss/post/7202836/</t>
  </si>
  <si>
    <t xml:space="preserve">comp post of row already counted (Salesforce LMTS 10.3 yrs)</t>
  </si>
  <si>
    <t xml:space="preserve">https://leetcode.com/discuss/post/7698154/</t>
  </si>
  <si>
    <t xml:space="preserve">other 21 loops: level and YoE not stated, most only 1-2 rounds</t>
  </si>
  <si>
    <t xml:space="preserve">https://leetcode.com/discuss/compensation/7840961/</t>
  </si>
  <si>
    <t xml:space="preserve">comp post of row already counted (Salesforce SMTS Hyderabad 9 yrs)</t>
  </si>
  <si>
    <t xml:space="preserve">https://leetcode.com/discuss/interview-experience/6982468/</t>
  </si>
  <si>
    <t xml:space="preserve">partial loop (rejected), no DSA observed, so not counted by rule; Meesho SDE3 MC + Java internals + HLD; YoE and date not stated</t>
  </si>
  <si>
    <t xml:space="preserve">https://leetcode.com/discuss/interview-experience/6770402/</t>
  </si>
  <si>
    <t xml:space="preserve">https://leetcode.com/discuss/post/7529922/</t>
  </si>
  <si>
    <t xml:space="preserve">below level (JioHotstar SDE II, 3-5 yrs)</t>
  </si>
  <si>
    <t xml:space="preserve">https://leetcode.com/discuss/post/7529982/jiohotstar-software-development-engineer-6uz4/</t>
  </si>
  <si>
    <t xml:space="preserve">no rounds (JioHotstar SDE2 offer)</t>
  </si>
  <si>
    <t xml:space="preserve">https://leetcode.com/discuss/post/5203596/VMware-by-Broadcom-or-MTS3-or-Bengaluru/</t>
  </si>
  <si>
    <t xml:space="preserve">no rounds, offer May 2024 (before window)</t>
  </si>
  <si>
    <t xml:space="preserve">https://www.jointaro.com/interviews/companies/visa/experiences/senior-software-engineer-bengaluru-karnataka-november-9-2025-no-offer-neutral-fd0733f9/</t>
  </si>
  <si>
    <t xml:space="preserve">partial loop (ghosted after 2 rounds: SQL, Java), no DSA observed, so not counted by rule</t>
  </si>
  <si>
    <t xml:space="preserve">https://www.jointaro.com/interviews/companies/oracle/experiences/senior-software-engineer-bengaluru-december-1-2024-no-offer-negative-7c7b9081/</t>
  </si>
  <si>
    <t xml:space="preserve">one round, content not described; role closed</t>
  </si>
  <si>
    <t xml:space="preserve">https://www.jointaro.com/interviews/companies/uber/experiences/senior-software-engineer-bengaluru-october-1-2024-accepted-offer-positive-dd2ed38b/</t>
  </si>
  <si>
    <t xml:space="preserve">rounds not described (HM plus 4-5 unnamed rounds)</t>
  </si>
  <si>
    <t xml:space="preserve">https://www.jointaro.com/interviews/companies/juniper-networks/experiences/staff-engineer-bengaluru-karnataka-august-1-2025-no-offer-negative-e28327af/</t>
  </si>
  <si>
    <t xml:space="preserve">rounds not described (7 unnamed rounds)</t>
  </si>
  <si>
    <t xml:space="preserve">https://www.glassdoor.ie/Interview/Atlassian-Interview-E115699-RVW101312941.htm</t>
  </si>
  <si>
    <t xml:space="preserve">support role, not SWE (Atlassian Senior Technical Support Engineer)</t>
  </si>
  <si>
    <t xml:space="preserve">https://www.glassdoor.co.uk/Interview/Atlassian-Interview-E115699-RVW98851519.htm</t>
  </si>
  <si>
    <t xml:space="preserve">level not stated (Atlassian SE Bengaluru Jul 2025: Karat HLD + 2 DSA)</t>
  </si>
  <si>
    <t xml:space="preserve">https://www.glassdoor.com.au/Interview/Salesforce-Interview-E11159-RVW100972443.htm</t>
  </si>
  <si>
    <t xml:space="preserve">rounds not described (Salesforce Senior Staff Hyderabad)</t>
  </si>
  <si>
    <t xml:space="preserve">https://www.glassdoor.co.in/Interview/Amazon-Interview-E6036-RVW104074847.htm</t>
  </si>
  <si>
    <t xml:space="preserve">below level (Amazon SDE 1); trend: Gen AI discussion round, Jan 2026</t>
  </si>
  <si>
    <t xml:space="preserve">https://www.glassdoor.co.in/Interview/Walmart-Interview-E715-RVW96816608.htm</t>
  </si>
  <si>
    <t xml:space="preserve">same review as Taro Walmart SSE Apr 21 2025 row (Taro mirrors it)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</si>
</sst>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ops" displayName="Loops" ref="A1:AB108" headerRowCount="1" totalsRowCount="0" totalsRowShown="0">
  <autoFilter ref="A1:AB108"/>
  <tableColumns count="28">
    <tableColumn id="1" name="#"/>
    <tableColumn id="2" name="Company"/>
    <tableColumn id="3" name="Title / level"/>
    <tableColumn id="4" name="YoE"/>
    <tableColumn id="5" name="YoE band"/>
    <tableColumn id="6" name="Location"/>
    <tableColumn id="7" name="Date"/>
    <tableColumn id="8" name="Year group"/>
    <tableColumn id="9" name="Source"/>
    <tableColumn id="10" name="Link"/>
    <tableColumn id="11" name="DSA asked?"/>
    <tableColumn id="12" name="DSA rounds"/>
    <tableColumn id="13" name="DSA difficulty"/>
    <tableColumn id="14" name="Machine coding"/>
    <tableColumn id="15" name="LLD"/>
    <tableColumn id="16" name="HLD"/>
    <tableColumn id="17" name="AI-assisted coding"/>
    <tableColumn id="18" name="AI concepts"/>
    <tableColumn id="19" name="Project deep-dive"/>
    <tableColumn id="20" name="Code review / debug"/>
    <tableColumn id="21" name="Lang / CS fundamentals"/>
    <tableColumn id="22" name="HM / behavioral"/>
    <tableColumn id="23" name="Rounds counted"/>
    <tableColumn id="24" name="Partial loop?"/>
    <tableColumn id="25" name="Same-author tag"/>
    <tableColumn id="26" name="Counted (dedup)?"/>
    <tableColumn id="27" name="Outcome"/>
    <tableColumn id="28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lassdoor.com/Interview/Nutanix-Interview-Questions-E429159.htm" TargetMode="External"/><Relationship Id="rId2" Type="http://schemas.openxmlformats.org/officeDocument/2006/relationships/hyperlink" Target="https://www.glassdoor.co.in/Interview/Uber-Senior-Software-Engineer-Interview-Questions-EI_IE575263.0,4_KO5,29.htm" TargetMode="External"/><Relationship Id="rId3" Type="http://schemas.openxmlformats.org/officeDocument/2006/relationships/hyperlink" Target="https://www.glassdoor.com.au/Interview/Salesforce-Interview-E11159-RVW104386922.htm" TargetMode="External"/><Relationship Id="rId4" Type="http://schemas.openxmlformats.org/officeDocument/2006/relationships/hyperlink" Target="https://www.glassdoor.com/Interview/Razorpay-Interview-E1146550-RVW104471826.htm" TargetMode="External"/><Relationship Id="rId5" Type="http://schemas.openxmlformats.org/officeDocument/2006/relationships/hyperlink" Target="https://leetcode.com/discuss/post/8299285/walmart-ssein4-interview-experience-apri-te0v/" TargetMode="External"/><Relationship Id="rId6" Type="http://schemas.openxmlformats.org/officeDocument/2006/relationships/hyperlink" Target="https://leetcode.com/discuss/post/7774527/walmart-sde-3-interview-experience-march-cvri/" TargetMode="External"/><Relationship Id="rId7" Type="http://schemas.openxmlformats.org/officeDocument/2006/relationships/hyperlink" Target="https://leetcode.com/discuss/post/7772003/mongodb-swe3-gurgaon-interview-selected-ivulh/" TargetMode="External"/><Relationship Id="rId8" Type="http://schemas.openxmlformats.org/officeDocument/2006/relationships/hyperlink" Target="https://leetcode.com/discuss/post/7840794/salesforce-smts-hyderabad-march-2026-off-0fi6/" TargetMode="External"/><Relationship Id="rId9" Type="http://schemas.openxmlformats.org/officeDocument/2006/relationships/hyperlink" Target="https://leetcode.com/discuss/post/7654415/" TargetMode="External"/><Relationship Id="rId10" Type="http://schemas.openxmlformats.org/officeDocument/2006/relationships/hyperlink" Target="https://leetcode.com/discuss/post/7698154/" TargetMode="External"/><Relationship Id="rId11" Type="http://schemas.openxmlformats.org/officeDocument/2006/relationships/hyperlink" Target="https://leetcode.com/discuss/post/7690154/" TargetMode="External"/><Relationship Id="rId12" Type="http://schemas.openxmlformats.org/officeDocument/2006/relationships/hyperlink" Target="https://leetcode.com/discuss/post/7770543/phonepe-software-engineer-5-7-years-bang-tppy/" TargetMode="External"/><Relationship Id="rId13" Type="http://schemas.openxmlformats.org/officeDocument/2006/relationships/hyperlink" Target="https://leetcode.com/discuss/post/7649720/paytm-interview-experience-sse-jan-2026-r44h2/" TargetMode="External"/><Relationship Id="rId14" Type="http://schemas.openxmlformats.org/officeDocument/2006/relationships/hyperlink" Target="https://leetcode.com/discuss/post/7571535/" TargetMode="External"/><Relationship Id="rId15" Type="http://schemas.openxmlformats.org/officeDocument/2006/relationships/hyperlink" Target="https://leetcode.com/discuss/post/8477884/interview-summary-of-last-6-months-micro-y7a7/" TargetMode="External"/><Relationship Id="rId16" Type="http://schemas.openxmlformats.org/officeDocument/2006/relationships/hyperlink" Target="https://leetcode.com/discuss/post/8428653/prep-and-interview-exp-for-seniorstaff-l-ki4x/" TargetMode="External"/><Relationship Id="rId17" Type="http://schemas.openxmlformats.org/officeDocument/2006/relationships/hyperlink" Target="https://leetcode.com/discuss/post/8428653/prep-and-interview-exp-for-seniorstaff-l-ki4x/" TargetMode="External"/><Relationship Id="rId18" Type="http://schemas.openxmlformats.org/officeDocument/2006/relationships/hyperlink" Target="https://leetcode.com/discuss/post/8428653/prep-and-interview-exp-for-seniorstaff-l-ki4x/" TargetMode="External"/><Relationship Id="rId19" Type="http://schemas.openxmlformats.org/officeDocument/2006/relationships/hyperlink" Target="https://leetcode.com/discuss/post/8477884/interview-summary-of-last-6-months-micro-y7a7/" TargetMode="External"/><Relationship Id="rId20" Type="http://schemas.openxmlformats.org/officeDocument/2006/relationships/hyperlink" Target="https://leetcode.com/discuss/post/7823221/" TargetMode="External"/><Relationship Id="rId21" Type="http://schemas.openxmlformats.org/officeDocument/2006/relationships/hyperlink" Target="https://leetcode.com/discuss/post/8477884/interview-summary-of-last-6-months-micro-y7a7/" TargetMode="External"/><Relationship Id="rId22" Type="http://schemas.openxmlformats.org/officeDocument/2006/relationships/hyperlink" Target="https://leetcode.com/discuss/post/8477884/interview-summary-of-last-6-months-micro-y7a7/" TargetMode="External"/><Relationship Id="rId23" Type="http://schemas.openxmlformats.org/officeDocument/2006/relationships/hyperlink" Target="https://leetcode.com/discuss/post/8477884/interview-summary-of-last-6-months-micro-y7a7/" TargetMode="External"/><Relationship Id="rId24" Type="http://schemas.openxmlformats.org/officeDocument/2006/relationships/hyperlink" Target="https://leetcode.com/discuss/post/8428653/prep-and-interview-exp-for-seniorstaff-l-ki4x/" TargetMode="External"/><Relationship Id="rId25" Type="http://schemas.openxmlformats.org/officeDocument/2006/relationships/hyperlink" Target="https://leetcode.com/discuss/post/8477884/interview-summary-of-last-6-months-micro-y7a7/" TargetMode="External"/><Relationship Id="rId26" Type="http://schemas.openxmlformats.org/officeDocument/2006/relationships/hyperlink" Target="https://www.glassdoor.co.in/Interview/Oracle-Senior-Member-of-Technical-Staff-Interview-Questions-EI_IE1737.0,6_KO7,39.htm" TargetMode="External"/><Relationship Id="rId27" Type="http://schemas.openxmlformats.org/officeDocument/2006/relationships/hyperlink" Target="https://leetcode.com/discuss/post/8477884/interview-summary-of-last-6-months-micro-y7a7/" TargetMode="External"/><Relationship Id="rId28" Type="http://schemas.openxmlformats.org/officeDocument/2006/relationships/hyperlink" Target="https://leetcode.com/discuss/post/8319169/" TargetMode="External"/><Relationship Id="rId29" Type="http://schemas.openxmlformats.org/officeDocument/2006/relationships/hyperlink" Target="https://leetcode.com/discuss/post/7446936/" TargetMode="External"/><Relationship Id="rId30" Type="http://schemas.openxmlformats.org/officeDocument/2006/relationships/hyperlink" Target="https://leetcode.com/discuss/post/7410581/" TargetMode="External"/><Relationship Id="rId31" Type="http://schemas.openxmlformats.org/officeDocument/2006/relationships/hyperlink" Target="https://leetcode.com/discuss/post/8319169/" TargetMode="External"/><Relationship Id="rId32" Type="http://schemas.openxmlformats.org/officeDocument/2006/relationships/hyperlink" Target="https://leetcode.com/discuss/post/7386726/" TargetMode="External"/><Relationship Id="rId33" Type="http://schemas.openxmlformats.org/officeDocument/2006/relationships/hyperlink" Target="https://leetcode.com/discuss/post/7384474/zeta-sde-3-bangalore-oct-2025-declined-o-715m/" TargetMode="External"/><Relationship Id="rId34" Type="http://schemas.openxmlformats.org/officeDocument/2006/relationships/hyperlink" Target="https://leetcode.com/discuss/post/7253272/" TargetMode="External"/><Relationship Id="rId35" Type="http://schemas.openxmlformats.org/officeDocument/2006/relationships/hyperlink" Target="https://leetcode.com/discuss/post/7253272/" TargetMode="External"/><Relationship Id="rId36" Type="http://schemas.openxmlformats.org/officeDocument/2006/relationships/hyperlink" Target="https://www.jointaro.com/interviews/companies/oracle/experiences/senior-software-engineer-october-13-2025-no-offer-negative-206c52ba/" TargetMode="External"/><Relationship Id="rId37" Type="http://schemas.openxmlformats.org/officeDocument/2006/relationships/hyperlink" Target="https://www.jointaro.com/interviews/companies/oracle/experiences/principal-software-engineer-bengaluru-karnataka-october-27-2025-accepted-offer-positive-30c4e456/" TargetMode="External"/><Relationship Id="rId38" Type="http://schemas.openxmlformats.org/officeDocument/2006/relationships/hyperlink" Target="https://leetcode.com/discuss/post/7318007/nike-sde-3-interview-experience-by-anony-xd5y/" TargetMode="External"/><Relationship Id="rId39" Type="http://schemas.openxmlformats.org/officeDocument/2006/relationships/hyperlink" Target="https://leetcode.com/discuss/post/7259276/" TargetMode="External"/><Relationship Id="rId40" Type="http://schemas.openxmlformats.org/officeDocument/2006/relationships/hyperlink" Target="https://www.jointaro.com/interviews/companies/google/experiences/senior-software-engineer-bengaluru-karnataka-october-5-2025-no-offer-positive-62a5e889/" TargetMode="External"/><Relationship Id="rId41" Type="http://schemas.openxmlformats.org/officeDocument/2006/relationships/hyperlink" Target="https://leetcode.com/discuss/post/7253272/" TargetMode="External"/><Relationship Id="rId42" Type="http://schemas.openxmlformats.org/officeDocument/2006/relationships/hyperlink" Target="https://leetcode.com/discuss/post/7240231/flipkart-sde-3-bangalore-6-yoe-by-snkxry-zhy1/" TargetMode="External"/><Relationship Id="rId43" Type="http://schemas.openxmlformats.org/officeDocument/2006/relationships/hyperlink" Target="https://leetcode.com/discuss/post/7253272/" TargetMode="External"/><Relationship Id="rId44" Type="http://schemas.openxmlformats.org/officeDocument/2006/relationships/hyperlink" Target="https://leetcode.com/discuss/post/7333207/salesforce-lmts-india-interview-experien-bb2k/" TargetMode="External"/><Relationship Id="rId45" Type="http://schemas.openxmlformats.org/officeDocument/2006/relationships/hyperlink" Target="https://leetcode.com/discuss/post/7360702/razorpay-lead-software-engineer-bangalor-qkqi/" TargetMode="External"/><Relationship Id="rId46" Type="http://schemas.openxmlformats.org/officeDocument/2006/relationships/hyperlink" Target="https://leetcode.com/discuss/post/7179026/paytm-interview-experience-senior-softwa-t66r/" TargetMode="External"/><Relationship Id="rId47" Type="http://schemas.openxmlformats.org/officeDocument/2006/relationships/hyperlink" Target="https://www.jointaro.com/interviews/companies/new-relic/experiences/senior-software-engineer-bengaluru-karnataka-september-1-2025-no-offer-negative-a6110d78/" TargetMode="External"/><Relationship Id="rId48" Type="http://schemas.openxmlformats.org/officeDocument/2006/relationships/hyperlink" Target="https://leetcode.com/discuss/post/7496727/meesho-sde3-interview-india-got-offer-by-v59z/" TargetMode="External"/><Relationship Id="rId49" Type="http://schemas.openxmlformats.org/officeDocument/2006/relationships/hyperlink" Target="https://leetcode.com/discuss/post/7185262/" TargetMode="External"/><Relationship Id="rId50" Type="http://schemas.openxmlformats.org/officeDocument/2006/relationships/hyperlink" Target="https://leetcode.com/discuss/post/7185262/" TargetMode="External"/><Relationship Id="rId51" Type="http://schemas.openxmlformats.org/officeDocument/2006/relationships/hyperlink" Target="https://leetcode.com/discuss/post/7185262/" TargetMode="External"/><Relationship Id="rId52" Type="http://schemas.openxmlformats.org/officeDocument/2006/relationships/hyperlink" Target="https://www.jointaro.com/interviews/companies/uber/experiences/senior-software-engineer-bengaluru-august-1-2025-no-offer-positive-2675385c/" TargetMode="External"/><Relationship Id="rId53" Type="http://schemas.openxmlformats.org/officeDocument/2006/relationships/hyperlink" Target="https://leetcode.com/discuss/interview-experience/7049872/" TargetMode="External"/><Relationship Id="rId54" Type="http://schemas.openxmlformats.org/officeDocument/2006/relationships/hyperlink" Target="https://leetcode.com/discuss/post/7185262/" TargetMode="External"/><Relationship Id="rId55" Type="http://schemas.openxmlformats.org/officeDocument/2006/relationships/hyperlink" Target="https://www.jointaro.com/interviews/companies/oracle/experiences/principal-software-engineer-india-august-1-2025-no-offer-neutral-bc8f4b35/" TargetMode="External"/><Relationship Id="rId56" Type="http://schemas.openxmlformats.org/officeDocument/2006/relationships/hyperlink" Target="https://leetcode.com/discuss/post/7185262/" TargetMode="External"/><Relationship Id="rId57" Type="http://schemas.openxmlformats.org/officeDocument/2006/relationships/hyperlink" Target="https://leetcode.com/discuss/post/7185262/" TargetMode="External"/><Relationship Id="rId58" Type="http://schemas.openxmlformats.org/officeDocument/2006/relationships/hyperlink" Target="https://leetcode.com/discuss/post/7185262/" TargetMode="External"/><Relationship Id="rId59" Type="http://schemas.openxmlformats.org/officeDocument/2006/relationships/hyperlink" Target="https://www.jointaro.com/interviews/companies/intuit/experiences/senior-software-engineer-bengaluru-august-12-2025-accepted-offer-positive-d72c7f65/" TargetMode="External"/><Relationship Id="rId60" Type="http://schemas.openxmlformats.org/officeDocument/2006/relationships/hyperlink" Target="https://www.jointaro.com/interviews/companies/intuit/experiences/senior-software-engineer-bengaluru-august-1-2025-no-offer-negative-9449598a/" TargetMode="External"/><Relationship Id="rId61" Type="http://schemas.openxmlformats.org/officeDocument/2006/relationships/hyperlink" Target="https://leetcode.com/discuss/post/7199425/" TargetMode="External"/><Relationship Id="rId62" Type="http://schemas.openxmlformats.org/officeDocument/2006/relationships/hyperlink" Target="https://leetcode.com/discuss/post/7185262/" TargetMode="External"/><Relationship Id="rId63" Type="http://schemas.openxmlformats.org/officeDocument/2006/relationships/hyperlink" Target="https://leetcode.com/discuss/interview-experience/7008972/" TargetMode="External"/><Relationship Id="rId64" Type="http://schemas.openxmlformats.org/officeDocument/2006/relationships/hyperlink" Target="https://leetcode.com/discuss/interview-experience/6961982/" TargetMode="External"/><Relationship Id="rId65" Type="http://schemas.openxmlformats.org/officeDocument/2006/relationships/hyperlink" Target="https://www.glassdoor.co.in/Interview/Oracle-Senior-Member-of-Technical-Staff-Interview-Questions-EI_IE1737.0,6_KO7,39.htm" TargetMode="External"/><Relationship Id="rId66" Type="http://schemas.openxmlformats.org/officeDocument/2006/relationships/hyperlink" Target="https://www.jointaro.com/interviews/companies/oracle/experiences/principal-software-engineer-bengaluru-july-3-2025-accepted-offer-positive-6191d5b8/" TargetMode="External"/><Relationship Id="rId67" Type="http://schemas.openxmlformats.org/officeDocument/2006/relationships/hyperlink" Target="https://leetcode.com/discuss/interview-experience/7031783/" TargetMode="External"/><Relationship Id="rId68" Type="http://schemas.openxmlformats.org/officeDocument/2006/relationships/hyperlink" Target="https://www.jointaro.com/interviews/companies/walmart/experiences/senior-software-engineer-bengaluru-june-26-2025-no-offer-positive-767ac34d/" TargetMode="External"/><Relationship Id="rId69" Type="http://schemas.openxmlformats.org/officeDocument/2006/relationships/hyperlink" Target="https://www.jointaro.com/interviews/companies/visa/experiences/senior-software-engineer-bengaluru-june-10-2025-no-offer-neutral-83a41939/" TargetMode="External"/><Relationship Id="rId70" Type="http://schemas.openxmlformats.org/officeDocument/2006/relationships/hyperlink" Target="https://www.jointaro.com/interviews/companies/visa/experiences/senior-software-engineer-bengaluru-june-1-2025-no-offer-positive-b0e9c5ca/" TargetMode="External"/><Relationship Id="rId71" Type="http://schemas.openxmlformats.org/officeDocument/2006/relationships/hyperlink" Target="https://leetcode.com/discuss/post/7248055/" TargetMode="External"/><Relationship Id="rId72" Type="http://schemas.openxmlformats.org/officeDocument/2006/relationships/hyperlink" Target="https://leetcode.com/discuss/post/6938816/atlassian-senior-software-engineer-p50-o-4hf6/" TargetMode="External"/><Relationship Id="rId73" Type="http://schemas.openxmlformats.org/officeDocument/2006/relationships/hyperlink" Target="https://leetcode.com/discuss/interview-experience/7043175/" TargetMode="External"/><Relationship Id="rId74" Type="http://schemas.openxmlformats.org/officeDocument/2006/relationships/hyperlink" Target="https://leetcode.com/discuss/post/6683950/" TargetMode="External"/><Relationship Id="rId75" Type="http://schemas.openxmlformats.org/officeDocument/2006/relationships/hyperlink" Target="https://www.jointaro.com/interviews/companies/oracle/experiences/senior-software-engineer-bengaluru-may-1-2025-no-offer-negative-d0dd289f/" TargetMode="External"/><Relationship Id="rId76" Type="http://schemas.openxmlformats.org/officeDocument/2006/relationships/hyperlink" Target="https://www.jointaro.com/interviews/companies/google/experiences/senior-software-engineer-bengaluru-may-21-2025-no-offer-neutral-c1ec91f1/" TargetMode="External"/><Relationship Id="rId77" Type="http://schemas.openxmlformats.org/officeDocument/2006/relationships/hyperlink" Target="https://leetcode.com/discuss/post/6857757/deliveroo-interview-experience-l6-staff-wmn08/" TargetMode="External"/><Relationship Id="rId78" Type="http://schemas.openxmlformats.org/officeDocument/2006/relationships/hyperlink" Target="https://www.jointaro.com/interviews/companies/walmart/experiences/senior-software-engineer-bengaluru-april-21-2025-accepted-offer-positive-8d556041/" TargetMode="External"/><Relationship Id="rId79" Type="http://schemas.openxmlformats.org/officeDocument/2006/relationships/hyperlink" Target="https://leetcode.com/discuss/post/6840488/" TargetMode="External"/><Relationship Id="rId80" Type="http://schemas.openxmlformats.org/officeDocument/2006/relationships/hyperlink" Target="https://www.glassdoor.co.in/Interview/Salesforce-Lead-Software-Engineer-Interview-Questions-EI_IE11159.0,10_KO11,33.htm" TargetMode="External"/><Relationship Id="rId81" Type="http://schemas.openxmlformats.org/officeDocument/2006/relationships/hyperlink" Target="https://leetcode.com/discuss/post/6747306/" TargetMode="External"/><Relationship Id="rId82" Type="http://schemas.openxmlformats.org/officeDocument/2006/relationships/hyperlink" Target="https://leetcode.com/discuss/post/6651621/" TargetMode="External"/><Relationship Id="rId83" Type="http://schemas.openxmlformats.org/officeDocument/2006/relationships/hyperlink" Target="https://leetcode.com/discuss/post/6840488/" TargetMode="External"/><Relationship Id="rId84" Type="http://schemas.openxmlformats.org/officeDocument/2006/relationships/hyperlink" Target="https://leetcode.com/discuss/post/6974811/" TargetMode="External"/><Relationship Id="rId85" Type="http://schemas.openxmlformats.org/officeDocument/2006/relationships/hyperlink" Target="https://www.jointaro.com/interviews/companies/visa/experiences/senior-software-engineer-bengaluru-march-5-2025-accepted-offer-positive-c0b64347/" TargetMode="External"/><Relationship Id="rId86" Type="http://schemas.openxmlformats.org/officeDocument/2006/relationships/hyperlink" Target="https://www.glassdoor.co.in/Interview/Oracle-Senior-Member-of-Technical-Staff-Interview-Questions-EI_IE1737.0,6_KO7,39.htm" TargetMode="External"/><Relationship Id="rId87" Type="http://schemas.openxmlformats.org/officeDocument/2006/relationships/hyperlink" Target="https://www.jointaro.com/interviews/companies/oracle/experiences/senior-software-engineer-bengaluru-march-1-2025-no-offer-negative-434d05e0/" TargetMode="External"/><Relationship Id="rId88" Type="http://schemas.openxmlformats.org/officeDocument/2006/relationships/hyperlink" Target="https://leetcode.com/discuss/interview-experience/6420594/Target-or-L5-or-Bengaluru-0ffer-Feb-13" TargetMode="External"/><Relationship Id="rId89" Type="http://schemas.openxmlformats.org/officeDocument/2006/relationships/hyperlink" Target="https://www.jointaro.com/interviews/companies/ibm/experiences/senior-software-engineer-bengaluru-february-21-2025-accepted-offer-positive-2c8f1d49/" TargetMode="External"/><Relationship Id="rId90" Type="http://schemas.openxmlformats.org/officeDocument/2006/relationships/hyperlink" Target="https://www.jointaro.com/interviews/companies/google/experiences/senior-software-engineer-bengaluru-february-1-2025-no-offer-positive-db445722/" TargetMode="External"/><Relationship Id="rId91" Type="http://schemas.openxmlformats.org/officeDocument/2006/relationships/hyperlink" Target="https://www.jointaro.com/interviews/companies/amazon/experiences/senior-software-engineer-bengaluru-february-1-2025-declined-offer-positive-bb35ad30/" TargetMode="External"/><Relationship Id="rId92" Type="http://schemas.openxmlformats.org/officeDocument/2006/relationships/hyperlink" Target="https://leetcode.com/discuss/interview-experience/6467386/WalMart-SDE-III-or-Bangalore/" TargetMode="External"/><Relationship Id="rId93" Type="http://schemas.openxmlformats.org/officeDocument/2006/relationships/hyperlink" Target="https://www.jointaro.com/interviews/companies/walmart/experiences/senior-software-engineer-bengaluru-january-1-2025-declined-offer-negative-1a3813e1/" TargetMode="External"/><Relationship Id="rId94" Type="http://schemas.openxmlformats.org/officeDocument/2006/relationships/hyperlink" Target="https://leetcode.com/discuss/post/6303697/VISA-or-Senior-Software-Engineer-(Sr.-SW-Engineer)-or-Bangalore-or-Jan-2025-Reject/" TargetMode="External"/><Relationship Id="rId95" Type="http://schemas.openxmlformats.org/officeDocument/2006/relationships/hyperlink" Target="https://leetcode.com/discuss/interview-experience/6321318/Salesforce-or-SMTS-or-Awaited/" TargetMode="External"/><Relationship Id="rId96" Type="http://schemas.openxmlformats.org/officeDocument/2006/relationships/hyperlink" Target="https://leetcode.com/discuss/post/7292727/interview-experience-for-uber-l5a-by-ano-r4kt/" TargetMode="External"/><Relationship Id="rId97" Type="http://schemas.openxmlformats.org/officeDocument/2006/relationships/hyperlink" Target="https://leetcode.com/discuss/post/7359766/jpmorgan-chase-sde-3-java-full-stack-dev-rxak/" TargetMode="External"/><Relationship Id="rId98" Type="http://schemas.openxmlformats.org/officeDocument/2006/relationships/hyperlink" Target="https://leetcode.com/discuss/post/7124593/" TargetMode="External"/><Relationship Id="rId99" Type="http://schemas.openxmlformats.org/officeDocument/2006/relationships/hyperlink" Target="https://leetcode.com/discuss/post/7171528/intuit-interview-expereince-senior-softw-bd8i/" TargetMode="External"/><Relationship Id="rId100" Type="http://schemas.openxmlformats.org/officeDocument/2006/relationships/hyperlink" Target="https://www.jointaro.com/interviews/companies/walmart/experiences/senior-software-engineer-bengaluru-december-17-2024-no-offer-neutral-b651ad58/" TargetMode="External"/><Relationship Id="rId101" Type="http://schemas.openxmlformats.org/officeDocument/2006/relationships/hyperlink" Target="https://leetcode.com/discuss/interview-experience/6105121/PhonePe-Senior-SDE-bengaluru-Exp-7+/" TargetMode="External"/><Relationship Id="rId102" Type="http://schemas.openxmlformats.org/officeDocument/2006/relationships/hyperlink" Target="https://leetcode.com/discuss/post/6674506/" TargetMode="External"/><Relationship Id="rId103" Type="http://schemas.openxmlformats.org/officeDocument/2006/relationships/hyperlink" Target="https://leetcode.com/discuss/interview-experience/6297389/Salesforce-or-SMTS-or-Hyderabad-or-Jan-2025-offer" TargetMode="External"/><Relationship Id="rId104" Type="http://schemas.openxmlformats.org/officeDocument/2006/relationships/hyperlink" Target="https://leetcode.com/discuss/interview-experience/6050840/Paypal-or-Senior-Software-Engineer-or-SDE3-or-Chennai" TargetMode="External"/><Relationship Id="rId105" Type="http://schemas.openxmlformats.org/officeDocument/2006/relationships/hyperlink" Target="https://www.jointaro.com/interviews/companies/google/experiences/senior-software-engineer-bengaluru-november-1-2024-declined-offer-neutral-577337fa/" TargetMode="External"/><Relationship Id="rId106" Type="http://schemas.openxmlformats.org/officeDocument/2006/relationships/hyperlink" Target="https://www.jointaro.com/interviews/companies/amazon/experiences/senior-software-engineer-bengaluru-november-15-2024-no-offer-negative-0d24501d/" TargetMode="External"/><Relationship Id="rId107" Type="http://schemas.openxmlformats.org/officeDocument/2006/relationships/hyperlink" Target="https://leetcode.com/discuss/post/6157051/" TargetMode="External"/><Relationship Id="rId108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leetcode.com/discuss/post/8293408/" TargetMode="External"/><Relationship Id="rId2" Type="http://schemas.openxmlformats.org/officeDocument/2006/relationships/hyperlink" Target="https://leetcode.com/discuss/interview-experience/6489221/" TargetMode="External"/><Relationship Id="rId3" Type="http://schemas.openxmlformats.org/officeDocument/2006/relationships/hyperlink" Target="https://leetcode.com/discuss/post/7725248/" TargetMode="External"/><Relationship Id="rId4" Type="http://schemas.openxmlformats.org/officeDocument/2006/relationships/hyperlink" Target="https://leetcode.com/discuss/post/8546012/" TargetMode="External"/><Relationship Id="rId5" Type="http://schemas.openxmlformats.org/officeDocument/2006/relationships/hyperlink" Target="https://leetcode.com/discuss/post/8569781/" TargetMode="External"/><Relationship Id="rId6" Type="http://schemas.openxmlformats.org/officeDocument/2006/relationships/hyperlink" Target="https://leetcode.com/discuss/post/7947916/" TargetMode="External"/><Relationship Id="rId7" Type="http://schemas.openxmlformats.org/officeDocument/2006/relationships/hyperlink" Target="https://leetcode.com/discuss/post/8524180/" TargetMode="External"/><Relationship Id="rId8" Type="http://schemas.openxmlformats.org/officeDocument/2006/relationships/hyperlink" Target="https://leetcode.com/discuss/post/6774570/" TargetMode="External"/><Relationship Id="rId9" Type="http://schemas.openxmlformats.org/officeDocument/2006/relationships/hyperlink" Target="https://leetcode.com/discuss/post/8509983/" TargetMode="External"/><Relationship Id="rId10" Type="http://schemas.openxmlformats.org/officeDocument/2006/relationships/hyperlink" Target="https://leetcode.com/discuss/post/7614788/" TargetMode="External"/><Relationship Id="rId11" Type="http://schemas.openxmlformats.org/officeDocument/2006/relationships/hyperlink" Target="https://leetcode.com/discuss/post/6954860/" TargetMode="External"/><Relationship Id="rId12" Type="http://schemas.openxmlformats.org/officeDocument/2006/relationships/hyperlink" Target="https://leetcode.com/discuss/post/8076680/" TargetMode="External"/><Relationship Id="rId13" Type="http://schemas.openxmlformats.org/officeDocument/2006/relationships/hyperlink" Target="https://leetcode.com/discuss/post/7321156/" TargetMode="External"/><Relationship Id="rId14" Type="http://schemas.openxmlformats.org/officeDocument/2006/relationships/hyperlink" Target="https://leetcode.com/discuss/post/7240265/" TargetMode="External"/><Relationship Id="rId15" Type="http://schemas.openxmlformats.org/officeDocument/2006/relationships/hyperlink" Target="https://leetcode.com/discuss/post/7165974/" TargetMode="External"/><Relationship Id="rId16" Type="http://schemas.openxmlformats.org/officeDocument/2006/relationships/hyperlink" Target="https://leetcode.com/discuss/post/7357386/" TargetMode="External"/><Relationship Id="rId17" Type="http://schemas.openxmlformats.org/officeDocument/2006/relationships/hyperlink" Target="https://leetcode.com/discuss/post/7166280/" TargetMode="External"/><Relationship Id="rId18" Type="http://schemas.openxmlformats.org/officeDocument/2006/relationships/hyperlink" Target="https://leetcode.com/discuss/post/7683411/" TargetMode="External"/><Relationship Id="rId19" Type="http://schemas.openxmlformats.org/officeDocument/2006/relationships/hyperlink" Target="https://leetcode.com/discuss/post/8346937/" TargetMode="External"/><Relationship Id="rId20" Type="http://schemas.openxmlformats.org/officeDocument/2006/relationships/hyperlink" Target="glassdoor%20Razorpay%20RVW96524604%20RVW95101845%20RVW93979110%20+%20list" TargetMode="External"/><Relationship Id="rId21" Type="http://schemas.openxmlformats.org/officeDocument/2006/relationships/hyperlink" Target="glassdoor%20Nutanix%20RVW97520827" TargetMode="External"/><Relationship Id="rId22" Type="http://schemas.openxmlformats.org/officeDocument/2006/relationships/hyperlink" Target="https://leetcode.com/discuss/post/8373008/" TargetMode="External"/><Relationship Id="rId23" Type="http://schemas.openxmlformats.org/officeDocument/2006/relationships/hyperlink" Target="https://leetcode.com/discuss/post/7318007/" TargetMode="External"/><Relationship Id="rId24" Type="http://schemas.openxmlformats.org/officeDocument/2006/relationships/hyperlink" Target="https://leetcode.com/discuss/interview-experience/6399510/" TargetMode="External"/><Relationship Id="rId25" Type="http://schemas.openxmlformats.org/officeDocument/2006/relationships/hyperlink" Target="https://leetcode.com/discuss/interview-experience/6344788/" TargetMode="External"/><Relationship Id="rId26" Type="http://schemas.openxmlformats.org/officeDocument/2006/relationships/hyperlink" Target="https://leetcode.com/discuss/post/8477884/" TargetMode="External"/><Relationship Id="rId27" Type="http://schemas.openxmlformats.org/officeDocument/2006/relationships/hyperlink" Target="https://leetcode.com/discuss/post/6749919/" TargetMode="External"/><Relationship Id="rId28" Type="http://schemas.openxmlformats.org/officeDocument/2006/relationships/hyperlink" Target="https://leetcode.com/discuss/interview-experience/6462165/" TargetMode="External"/><Relationship Id="rId29" Type="http://schemas.openxmlformats.org/officeDocument/2006/relationships/hyperlink" Target="https://leetcode.com/discuss/post/6475013/" TargetMode="External"/><Relationship Id="rId30" Type="http://schemas.openxmlformats.org/officeDocument/2006/relationships/hyperlink" Target="https://leetcode.com/discuss/interview-experience/6819770/" TargetMode="External"/><Relationship Id="rId31" Type="http://schemas.openxmlformats.org/officeDocument/2006/relationships/hyperlink" Target="https://leetcode.com/discuss/interview-experience/6743598/" TargetMode="External"/><Relationship Id="rId32" Type="http://schemas.openxmlformats.org/officeDocument/2006/relationships/hyperlink" Target="https://leetcode.com/discuss/post/7407389/" TargetMode="External"/><Relationship Id="rId33" Type="http://schemas.openxmlformats.org/officeDocument/2006/relationships/hyperlink" Target="https://leetcode.com/discuss/post/8331559/" TargetMode="External"/><Relationship Id="rId34" Type="http://schemas.openxmlformats.org/officeDocument/2006/relationships/hyperlink" Target="https://leetcode.com/discuss/post/7192540/" TargetMode="External"/><Relationship Id="rId35" Type="http://schemas.openxmlformats.org/officeDocument/2006/relationships/hyperlink" Target="https://leetcode.com/discuss/interview-experience/7039649/" TargetMode="External"/><Relationship Id="rId36" Type="http://schemas.openxmlformats.org/officeDocument/2006/relationships/hyperlink" Target="https://leetcode.com/discuss/post/8289157/" TargetMode="External"/><Relationship Id="rId37" Type="http://schemas.openxmlformats.org/officeDocument/2006/relationships/hyperlink" Target="https://leetcode.com/discuss/post/7784812/" TargetMode="External"/><Relationship Id="rId38" Type="http://schemas.openxmlformats.org/officeDocument/2006/relationships/hyperlink" Target="https://leetcode.com/discuss/interview-experience/6829933/" TargetMode="External"/><Relationship Id="rId39" Type="http://schemas.openxmlformats.org/officeDocument/2006/relationships/hyperlink" Target="https://leetcode.com/discuss/post/8521771/" TargetMode="External"/><Relationship Id="rId40" Type="http://schemas.openxmlformats.org/officeDocument/2006/relationships/hyperlink" Target="https://leetcode.com/discuss/post/7052204/" TargetMode="External"/><Relationship Id="rId41" Type="http://schemas.openxmlformats.org/officeDocument/2006/relationships/hyperlink" Target="glassdoor%20Salesforce%20SMTS%202025-09-13" TargetMode="External"/><Relationship Id="rId42" Type="http://schemas.openxmlformats.org/officeDocument/2006/relationships/hyperlink" Target="glassdoor%20Salesforce%20SMTS%202025-02-21" TargetMode="External"/><Relationship Id="rId43" Type="http://schemas.openxmlformats.org/officeDocument/2006/relationships/hyperlink" Target="glassdoor%20Nutanix%20SMTS%202025-01-17" TargetMode="External"/><Relationship Id="rId44" Type="http://schemas.openxmlformats.org/officeDocument/2006/relationships/hyperlink" Target="glassdoor%20VMware%20SMTS%20page" TargetMode="External"/><Relationship Id="rId45" Type="http://schemas.openxmlformats.org/officeDocument/2006/relationships/hyperlink" Target="glassdoor%20Intuit%20Staff%20x3%20(2026)" TargetMode="External"/><Relationship Id="rId46" Type="http://schemas.openxmlformats.org/officeDocument/2006/relationships/hyperlink" Target="glassdoor%20Salesforce%20Lead%20SE%202025-02-05" TargetMode="External"/><Relationship Id="rId47" Type="http://schemas.openxmlformats.org/officeDocument/2006/relationships/hyperlink" Target="glassdoor%20Salesforce%20Lead%20SE%202025-02-03" TargetMode="External"/><Relationship Id="rId48" Type="http://schemas.openxmlformats.org/officeDocument/2006/relationships/hyperlink" Target="https://leetcode.com/discuss/interview-experience/6283963/" TargetMode="External"/><Relationship Id="rId49" Type="http://schemas.openxmlformats.org/officeDocument/2006/relationships/hyperlink" Target="https://leetcode.com/discuss/post/6840488/" TargetMode="External"/><Relationship Id="rId50" Type="http://schemas.openxmlformats.org/officeDocument/2006/relationships/hyperlink" Target="https://leetcode.com/discuss/post/7200743/" TargetMode="External"/><Relationship Id="rId51" Type="http://schemas.openxmlformats.org/officeDocument/2006/relationships/hyperlink" Target="https://leetcode.com/discuss/post/6318948/" TargetMode="External"/><Relationship Id="rId52" Type="http://schemas.openxmlformats.org/officeDocument/2006/relationships/hyperlink" Target="https://leetcode.com/discuss/post/7124533/" TargetMode="External"/><Relationship Id="rId53" Type="http://schemas.openxmlformats.org/officeDocument/2006/relationships/hyperlink" Target="https://leetcode.com/discuss/post/6170246/" TargetMode="External"/><Relationship Id="rId54" Type="http://schemas.openxmlformats.org/officeDocument/2006/relationships/hyperlink" Target="https://leetcode.com/discuss/interview-experience/6323099/" TargetMode="External"/><Relationship Id="rId55" Type="http://schemas.openxmlformats.org/officeDocument/2006/relationships/hyperlink" Target="https://leetcode.com/discuss/post/7406873/" TargetMode="External"/><Relationship Id="rId56" Type="http://schemas.openxmlformats.org/officeDocument/2006/relationships/hyperlink" Target="https://leetcode.com/discuss/post/7415867/" TargetMode="External"/><Relationship Id="rId57" Type="http://schemas.openxmlformats.org/officeDocument/2006/relationships/hyperlink" Target="https://leetcode.com/discuss/interview-experience/6846218/" TargetMode="External"/><Relationship Id="rId58" Type="http://schemas.openxmlformats.org/officeDocument/2006/relationships/hyperlink" Target="Agoda%20posts" TargetMode="External"/><Relationship Id="rId59" Type="http://schemas.openxmlformats.org/officeDocument/2006/relationships/hyperlink" Target="https://leetcode.com/discuss/post/7289927/" TargetMode="External"/><Relationship Id="rId60" Type="http://schemas.openxmlformats.org/officeDocument/2006/relationships/hyperlink" Target="https://leetcode.com/discuss/post/6859065/" TargetMode="External"/><Relationship Id="rId61" Type="http://schemas.openxmlformats.org/officeDocument/2006/relationships/hyperlink" Target="https://leetcode.com/discuss/post/6741948/" TargetMode="External"/><Relationship Id="rId62" Type="http://schemas.openxmlformats.org/officeDocument/2006/relationships/hyperlink" Target="https://leetcode.com/discuss/post/7377796/" TargetMode="External"/><Relationship Id="rId63" Type="http://schemas.openxmlformats.org/officeDocument/2006/relationships/hyperlink" Target="https://leetcode.com/discuss/post/6920335/" TargetMode="External"/><Relationship Id="rId64" Type="http://schemas.openxmlformats.org/officeDocument/2006/relationships/hyperlink" Target="https://leetcode.com/discuss/post/7568444/" TargetMode="External"/><Relationship Id="rId65" Type="http://schemas.openxmlformats.org/officeDocument/2006/relationships/hyperlink" Target="https://leetcode.com/discuss/post/6274356/" TargetMode="External"/><Relationship Id="rId66" Type="http://schemas.openxmlformats.org/officeDocument/2006/relationships/hyperlink" Target="https://leetcode.com/discuss/post/6283029/" TargetMode="External"/><Relationship Id="rId67" Type="http://schemas.openxmlformats.org/officeDocument/2006/relationships/hyperlink" Target="glassdoor%20Uber%20Senior%20SE%202026-06-20,%202026-06-05" TargetMode="External"/><Relationship Id="rId68" Type="http://schemas.openxmlformats.org/officeDocument/2006/relationships/hyperlink" Target="glassdoor%20Atlassian%20Senior%20SE%20x3" TargetMode="External"/><Relationship Id="rId69" Type="http://schemas.openxmlformats.org/officeDocument/2006/relationships/hyperlink" Target="glassdoor%20Walmart%20GT%20Senior%20SE%20x3" TargetMode="External"/><Relationship Id="rId70" Type="http://schemas.openxmlformats.org/officeDocument/2006/relationships/hyperlink" Target="glassdoor%20Walmart%20GT%20Staff%20x3" TargetMode="External"/><Relationship Id="rId71" Type="http://schemas.openxmlformats.org/officeDocument/2006/relationships/hyperlink" Target="glassdoor%20PhonePe%20Senior%20SE%20x2" TargetMode="External"/><Relationship Id="rId72" Type="http://schemas.openxmlformats.org/officeDocument/2006/relationships/hyperlink" Target="glassdoor%20Flipkart%20SDE%20III%20page" TargetMode="External"/><Relationship Id="rId73" Type="http://schemas.openxmlformats.org/officeDocument/2006/relationships/hyperlink" Target="https://leetcode.com/discuss/post/6707615/" TargetMode="External"/><Relationship Id="rId74" Type="http://schemas.openxmlformats.org/officeDocument/2006/relationships/hyperlink" Target="https://leetcode.com/discuss/post/6695262/" TargetMode="External"/><Relationship Id="rId75" Type="http://schemas.openxmlformats.org/officeDocument/2006/relationships/hyperlink" Target="https://leetcode.com/discuss/interview-experience/7145692/" TargetMode="External"/><Relationship Id="rId76" Type="http://schemas.openxmlformats.org/officeDocument/2006/relationships/hyperlink" Target="https://leetcode.com/discuss/post/7542688/" TargetMode="External"/><Relationship Id="rId77" Type="http://schemas.openxmlformats.org/officeDocument/2006/relationships/hyperlink" Target="https://leetcode.com/discuss/post/6476419/" TargetMode="External"/><Relationship Id="rId78" Type="http://schemas.openxmlformats.org/officeDocument/2006/relationships/hyperlink" Target="https://leetcode.com/discuss/post/7054525/" TargetMode="External"/><Relationship Id="rId79" Type="http://schemas.openxmlformats.org/officeDocument/2006/relationships/hyperlink" Target="https://leetcode.com/discuss/post/6912425/" TargetMode="External"/><Relationship Id="rId80" Type="http://schemas.openxmlformats.org/officeDocument/2006/relationships/hyperlink" Target="https://leetcode.com/discuss/post/8293030/" TargetMode="External"/><Relationship Id="rId81" Type="http://schemas.openxmlformats.org/officeDocument/2006/relationships/hyperlink" Target="https://leetcode.com/discuss/post/6839272/" TargetMode="External"/><Relationship Id="rId82" Type="http://schemas.openxmlformats.org/officeDocument/2006/relationships/hyperlink" Target="https://leetcode.com/discuss/post/7414036/" TargetMode="External"/><Relationship Id="rId83" Type="http://schemas.openxmlformats.org/officeDocument/2006/relationships/hyperlink" Target="https://leetcode.com/discuss/interview-experience/6651036/" TargetMode="External"/><Relationship Id="rId84" Type="http://schemas.openxmlformats.org/officeDocument/2006/relationships/hyperlink" Target="https://leetcode.com/discuss/post/7185262/" TargetMode="External"/><Relationship Id="rId85" Type="http://schemas.openxmlformats.org/officeDocument/2006/relationships/hyperlink" Target="https://leetcode.com/discuss/post/8428653/prep-and-interview-exp-for-seniorstaff-l-ki4x/" TargetMode="External"/><Relationship Id="rId86" Type="http://schemas.openxmlformats.org/officeDocument/2006/relationships/hyperlink" Target="https://leetcode.com/discuss/post/8428653/prep-and-interview-exp-for-seniorstaff-l-ki4x/" TargetMode="External"/><Relationship Id="rId87" Type="http://schemas.openxmlformats.org/officeDocument/2006/relationships/hyperlink" Target="https://leetcode.com/discuss/post/8428653/prep-and-interview-exp-for-seniorstaff-l-ki4x/" TargetMode="External"/><Relationship Id="rId88" Type="http://schemas.openxmlformats.org/officeDocument/2006/relationships/hyperlink" Target="https://leetcode.com/discuss/post/8428653/prep-and-interview-exp-for-seniorstaff-l-ki4x/" TargetMode="External"/><Relationship Id="rId89" Type="http://schemas.openxmlformats.org/officeDocument/2006/relationships/hyperlink" Target="https://leetcode.com/discuss/post/7568338/" TargetMode="External"/><Relationship Id="rId90" Type="http://schemas.openxmlformats.org/officeDocument/2006/relationships/hyperlink" Target="https://leetcode.com/discuss/post/7557196/" TargetMode="External"/><Relationship Id="rId91" Type="http://schemas.openxmlformats.org/officeDocument/2006/relationships/hyperlink" Target="https://leetcode.com/discuss/post/7472697/" TargetMode="External"/><Relationship Id="rId92" Type="http://schemas.openxmlformats.org/officeDocument/2006/relationships/hyperlink" Target="https://leetcode.com/discuss/post/6653228/" TargetMode="External"/><Relationship Id="rId93" Type="http://schemas.openxmlformats.org/officeDocument/2006/relationships/hyperlink" Target="https://leetcode.com/discuss/post/7851087/" TargetMode="External"/><Relationship Id="rId94" Type="http://schemas.openxmlformats.org/officeDocument/2006/relationships/hyperlink" Target="https://leetcode.com/discuss/post/8533355/" TargetMode="External"/><Relationship Id="rId95" Type="http://schemas.openxmlformats.org/officeDocument/2006/relationships/hyperlink" Target="https://leetcode.com/discuss/post/7649290/" TargetMode="External"/><Relationship Id="rId96" Type="http://schemas.openxmlformats.org/officeDocument/2006/relationships/hyperlink" Target="https://leetcode.com/discuss/post/5920164/" TargetMode="External"/><Relationship Id="rId97" Type="http://schemas.openxmlformats.org/officeDocument/2006/relationships/hyperlink" Target="https://leetcode.com/discuss/post/7239858/" TargetMode="External"/><Relationship Id="rId98" Type="http://schemas.openxmlformats.org/officeDocument/2006/relationships/hyperlink" Target="https://leetcode.com/discuss/post/7199383/" TargetMode="External"/><Relationship Id="rId99" Type="http://schemas.openxmlformats.org/officeDocument/2006/relationships/hyperlink" Target="https://leetcode.com/discuss/post/6752522/" TargetMode="External"/><Relationship Id="rId100" Type="http://schemas.openxmlformats.org/officeDocument/2006/relationships/hyperlink" Target="https://leetcode.com/discuss/post/6777801/" TargetMode="External"/><Relationship Id="rId101" Type="http://schemas.openxmlformats.org/officeDocument/2006/relationships/hyperlink" Target="https://leetcode.com/discuss/post/7629615/" TargetMode="External"/><Relationship Id="rId102" Type="http://schemas.openxmlformats.org/officeDocument/2006/relationships/hyperlink" Target="https://leetcode.com/discuss/interview-experience/7197132/" TargetMode="External"/><Relationship Id="rId103" Type="http://schemas.openxmlformats.org/officeDocument/2006/relationships/hyperlink" Target="https://leetcode.com/discuss/interview-experience/7099587/" TargetMode="External"/><Relationship Id="rId104" Type="http://schemas.openxmlformats.org/officeDocument/2006/relationships/hyperlink" Target="https://leetcode.com/discuss/interview-experience/7114235/" TargetMode="External"/><Relationship Id="rId105" Type="http://schemas.openxmlformats.org/officeDocument/2006/relationships/hyperlink" Target="https://leetcode.com/discuss/post/8482149/" TargetMode="External"/><Relationship Id="rId106" Type="http://schemas.openxmlformats.org/officeDocument/2006/relationships/hyperlink" Target="https://leetcode.com/discuss/post/7253272/" TargetMode="External"/><Relationship Id="rId107" Type="http://schemas.openxmlformats.org/officeDocument/2006/relationships/hyperlink" Target="https://leetcode.com/discuss/post/7199827/" TargetMode="External"/><Relationship Id="rId108" Type="http://schemas.openxmlformats.org/officeDocument/2006/relationships/hyperlink" Target="https://leetcode.com/discuss/post/6912254/" TargetMode="External"/><Relationship Id="rId109" Type="http://schemas.openxmlformats.org/officeDocument/2006/relationships/hyperlink" Target="https://leetcode.com/discuss/post/6413423/" TargetMode="External"/><Relationship Id="rId110" Type="http://schemas.openxmlformats.org/officeDocument/2006/relationships/hyperlink" Target="https://leetcode.com/discuss/post/6634496/" TargetMode="External"/><Relationship Id="rId111" Type="http://schemas.openxmlformats.org/officeDocument/2006/relationships/hyperlink" Target="https://leetcode.com/discuss/post/8480569/" TargetMode="External"/><Relationship Id="rId112" Type="http://schemas.openxmlformats.org/officeDocument/2006/relationships/hyperlink" Target="https://leetcode.com/discuss/post/8269557/" TargetMode="External"/><Relationship Id="rId113" Type="http://schemas.openxmlformats.org/officeDocument/2006/relationships/hyperlink" Target="https://leetcode.com/discuss/post/8482394/" TargetMode="External"/><Relationship Id="rId114" Type="http://schemas.openxmlformats.org/officeDocument/2006/relationships/hyperlink" Target="https://leetcode.com/discuss/post/7000178/" TargetMode="External"/><Relationship Id="rId115" Type="http://schemas.openxmlformats.org/officeDocument/2006/relationships/hyperlink" Target="https://leetcode.com/discuss/post/7619394/" TargetMode="External"/><Relationship Id="rId116" Type="http://schemas.openxmlformats.org/officeDocument/2006/relationships/hyperlink" Target="https://leetcode.com/discuss/post/7936031/" TargetMode="External"/><Relationship Id="rId117" Type="http://schemas.openxmlformats.org/officeDocument/2006/relationships/hyperlink" Target="https://leetcode.com/discuss/post/7561138/" TargetMode="External"/><Relationship Id="rId118" Type="http://schemas.openxmlformats.org/officeDocument/2006/relationships/hyperlink" Target="https://leetcode.com/discuss/post/7202836/" TargetMode="External"/><Relationship Id="rId119" Type="http://schemas.openxmlformats.org/officeDocument/2006/relationships/hyperlink" Target="https://leetcode.com/discuss/post/7698154/" TargetMode="External"/><Relationship Id="rId120" Type="http://schemas.openxmlformats.org/officeDocument/2006/relationships/hyperlink" Target="https://leetcode.com/discuss/compensation/7840961/" TargetMode="External"/><Relationship Id="rId121" Type="http://schemas.openxmlformats.org/officeDocument/2006/relationships/hyperlink" Target="https://leetcode.com/discuss/interview-experience/6982468/" TargetMode="External"/><Relationship Id="rId122" Type="http://schemas.openxmlformats.org/officeDocument/2006/relationships/hyperlink" Target="https://leetcode.com/discuss/interview-experience/6770402/" TargetMode="External"/><Relationship Id="rId123" Type="http://schemas.openxmlformats.org/officeDocument/2006/relationships/hyperlink" Target="https://leetcode.com/discuss/post/7529922/" TargetMode="External"/><Relationship Id="rId124" Type="http://schemas.openxmlformats.org/officeDocument/2006/relationships/hyperlink" Target="https://leetcode.com/discuss/post/7529982/jiohotstar-software-development-engineer-6uz4/" TargetMode="External"/><Relationship Id="rId125" Type="http://schemas.openxmlformats.org/officeDocument/2006/relationships/hyperlink" Target="https://leetcode.com/discuss/post/5203596/VMware-by-Broadcom-or-MTS3-or-Bengaluru/" TargetMode="External"/><Relationship Id="rId126" Type="http://schemas.openxmlformats.org/officeDocument/2006/relationships/hyperlink" Target="https://www.jointaro.com/interviews/companies/visa/experiences/senior-software-engineer-bengaluru-karnataka-november-9-2025-no-offer-neutral-fd0733f9/" TargetMode="External"/><Relationship Id="rId127" Type="http://schemas.openxmlformats.org/officeDocument/2006/relationships/hyperlink" Target="https://www.jointaro.com/interviews/companies/oracle/experiences/senior-software-engineer-bengaluru-december-1-2024-no-offer-negative-7c7b9081/" TargetMode="External"/><Relationship Id="rId128" Type="http://schemas.openxmlformats.org/officeDocument/2006/relationships/hyperlink" Target="https://www.jointaro.com/interviews/companies/uber/experiences/senior-software-engineer-bengaluru-october-1-2024-accepted-offer-positive-dd2ed38b/" TargetMode="External"/><Relationship Id="rId129" Type="http://schemas.openxmlformats.org/officeDocument/2006/relationships/hyperlink" Target="https://www.jointaro.com/interviews/companies/juniper-networks/experiences/staff-engineer-bengaluru-karnataka-august-1-2025-no-offer-negative-e28327af/" TargetMode="External"/><Relationship Id="rId130" Type="http://schemas.openxmlformats.org/officeDocument/2006/relationships/hyperlink" Target="https://www.glassdoor.ie/Interview/Atlassian-Interview-E115699-RVW101312941.htm" TargetMode="External"/><Relationship Id="rId131" Type="http://schemas.openxmlformats.org/officeDocument/2006/relationships/hyperlink" Target="https://www.glassdoor.co.uk/Interview/Atlassian-Interview-E115699-RVW98851519.htm" TargetMode="External"/><Relationship Id="rId132" Type="http://schemas.openxmlformats.org/officeDocument/2006/relationships/hyperlink" Target="https://www.glassdoor.com.au/Interview/Salesforce-Interview-E11159-RVW100972443.htm" TargetMode="External"/><Relationship Id="rId133" Type="http://schemas.openxmlformats.org/officeDocument/2006/relationships/hyperlink" Target="https://www.glassdoor.co.in/Interview/Amazon-Interview-E6036-RVW104074847.htm" TargetMode="External"/><Relationship Id="rId134" Type="http://schemas.openxmlformats.org/officeDocument/2006/relationships/hyperlink" Target="https://www.glassdoor.co.in/Interview/Walmart-Interview-E715-RVW96816608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COUNTIFS(Loops!$Z$2:$Z$108,"Y")</f>
        <v>104</v>
      </c>
      <c r="C5" s="5" t="n">
        <f aca="false">COUNTIFS(Loops!$Z$2:$Z$108,"Y",Loops!$K$2:$K$108,"Yes")</f>
        <v>90</v>
      </c>
      <c r="D5" s="5" t="n">
        <f aca="false">COUNTIFS(Loops!$Z$2:$Z$108,"Y",Loops!$K$2:$K$108,"No")</f>
        <v>8</v>
      </c>
      <c r="E5" s="5" t="n">
        <f aca="false">COUNTIFS(Loops!$Z$2:$Z$108,"Y",Loops!$K$2:$K$108,"Unclear")</f>
        <v>6</v>
      </c>
      <c r="F5" s="6" t="n">
        <f aca="false">IF(C5+D5=0,"",C5/(C5+D5))</f>
        <v>0.918367346938776</v>
      </c>
      <c r="G5" s="5" t="s">
        <v>10</v>
      </c>
    </row>
    <row r="6" customFormat="false" ht="15" hidden="false" customHeight="false" outlineLevel="0" collapsed="false">
      <c r="A6" s="4" t="s">
        <v>11</v>
      </c>
      <c r="B6" s="5" t="n">
        <f aca="false">COUNTIFS(Loops!$Z$2:$Z$108,"Y",Loops!$X$2:$X$108,"N")</f>
        <v>84</v>
      </c>
      <c r="C6" s="5" t="n">
        <f aca="false">COUNTIFS(Loops!$Z$2:$Z$108,"Y",Loops!$X$2:$X$108,"N",Loops!$K$2:$K$108,"Yes")</f>
        <v>70</v>
      </c>
      <c r="D6" s="5" t="n">
        <f aca="false">COUNTIFS(Loops!$Z$2:$Z$108,"Y",Loops!$X$2:$X$108,"N",Loops!$K$2:$K$108,"No")</f>
        <v>8</v>
      </c>
      <c r="E6" s="5" t="n">
        <f aca="false">COUNTIFS(Loops!$Z$2:$Z$108,"Y",Loops!$X$2:$X$108,"N",Loops!$K$2:$K$108,"Unclear")</f>
        <v>6</v>
      </c>
      <c r="F6" s="6" t="n">
        <f aca="false">IF(C6+D6=0,"",C6/(C6+D6))</f>
        <v>0.897435897435898</v>
      </c>
      <c r="G6" s="5" t="s">
        <v>12</v>
      </c>
    </row>
    <row r="7" customFormat="false" ht="15" hidden="false" customHeight="false" outlineLevel="0" collapsed="false">
      <c r="A7" s="4" t="s">
        <v>13</v>
      </c>
      <c r="B7" s="5" t="n">
        <f aca="false">COUNTIFS(Loops!$Z$2:$Z$108,"Y",Loops!$X$2:$X$108,"Y")</f>
        <v>20</v>
      </c>
      <c r="C7" s="5" t="n">
        <f aca="false">COUNTIFS(Loops!$Z$2:$Z$108,"Y",Loops!$X$2:$X$108,"Y",Loops!$K$2:$K$108,"Yes")</f>
        <v>20</v>
      </c>
      <c r="D7" s="5" t="n">
        <f aca="false">COUNTIFS(Loops!$Z$2:$Z$108,"Y",Loops!$X$2:$X$108,"Y",Loops!$K$2:$K$108,"No")</f>
        <v>0</v>
      </c>
      <c r="E7" s="5" t="n">
        <f aca="false">COUNTIFS(Loops!$Z$2:$Z$108,"Y",Loops!$X$2:$X$108,"Y",Loops!$K$2:$K$108,"Unclear")</f>
        <v>0</v>
      </c>
      <c r="F7" s="6" t="n">
        <f aca="false">IF(C7+D7=0,"",C7/(C7+D7))</f>
        <v>1</v>
      </c>
      <c r="G7" s="5" t="s">
        <v>14</v>
      </c>
    </row>
    <row r="8" customFormat="false" ht="15" hidden="false" customHeight="false" outlineLevel="0" collapsed="false">
      <c r="A8" s="4" t="s">
        <v>15</v>
      </c>
      <c r="B8" s="5" t="n">
        <f aca="false">COUNTIFS(Loops!$Z$2:$Z$108,"Y",Loops!$E$2:$E$108,"=&lt;6")</f>
        <v>16</v>
      </c>
      <c r="C8" s="5" t="n">
        <f aca="false">COUNTIFS(Loops!$Z$2:$Z$108,"Y",Loops!$E$2:$E$108,"=&lt;6",Loops!$K$2:$K$108,"Yes")</f>
        <v>16</v>
      </c>
      <c r="D8" s="5" t="n">
        <f aca="false">COUNTIFS(Loops!$Z$2:$Z$108,"Y",Loops!$E$2:$E$108,"=&lt;6",Loops!$K$2:$K$108,"No")</f>
        <v>0</v>
      </c>
      <c r="E8" s="5" t="n">
        <f aca="false">COUNTIFS(Loops!$Z$2:$Z$108,"Y",Loops!$E$2:$E$108,"=&lt;6",Loops!$K$2:$K$108,"Unclear")</f>
        <v>0</v>
      </c>
      <c r="F8" s="6" t="n">
        <f aca="false">IF(C8+D8=0,"",C8/(C8+D8))</f>
        <v>1</v>
      </c>
      <c r="G8" s="5"/>
    </row>
    <row r="9" customFormat="false" ht="15" hidden="false" customHeight="false" outlineLevel="0" collapsed="false">
      <c r="A9" s="4" t="s">
        <v>16</v>
      </c>
      <c r="B9" s="5" t="n">
        <f aca="false">COUNTIFS(Loops!$Z$2:$Z$108,"Y",Loops!$E$2:$E$108,"6-7")</f>
        <v>28</v>
      </c>
      <c r="C9" s="5" t="n">
        <f aca="false">COUNTIFS(Loops!$Z$2:$Z$108,"Y",Loops!$E$2:$E$108,"6-7",Loops!$K$2:$K$108,"Yes")</f>
        <v>26</v>
      </c>
      <c r="D9" s="5" t="n">
        <f aca="false">COUNTIFS(Loops!$Z$2:$Z$108,"Y",Loops!$E$2:$E$108,"6-7",Loops!$K$2:$K$108,"No")</f>
        <v>2</v>
      </c>
      <c r="E9" s="5" t="n">
        <f aca="false">COUNTIFS(Loops!$Z$2:$Z$108,"Y",Loops!$E$2:$E$108,"6-7",Loops!$K$2:$K$108,"Unclear")</f>
        <v>0</v>
      </c>
      <c r="F9" s="6" t="n">
        <f aca="false">IF(C9+D9=0,"",C9/(C9+D9))</f>
        <v>0.928571428571429</v>
      </c>
      <c r="G9" s="5"/>
    </row>
    <row r="10" customFormat="false" ht="15" hidden="false" customHeight="false" outlineLevel="0" collapsed="false">
      <c r="A10" s="4" t="s">
        <v>17</v>
      </c>
      <c r="B10" s="5" t="n">
        <f aca="false">COUNTIFS(Loops!$Z$2:$Z$108,"Y",Loops!$E$2:$E$108,"8-10")</f>
        <v>11</v>
      </c>
      <c r="C10" s="5" t="n">
        <f aca="false">COUNTIFS(Loops!$Z$2:$Z$108,"Y",Loops!$E$2:$E$108,"8-10",Loops!$K$2:$K$108,"Yes")</f>
        <v>9</v>
      </c>
      <c r="D10" s="5" t="n">
        <f aca="false">COUNTIFS(Loops!$Z$2:$Z$108,"Y",Loops!$E$2:$E$108,"8-10",Loops!$K$2:$K$108,"No")</f>
        <v>2</v>
      </c>
      <c r="E10" s="5" t="n">
        <f aca="false">COUNTIFS(Loops!$Z$2:$Z$108,"Y",Loops!$E$2:$E$108,"8-10",Loops!$K$2:$K$108,"Unclear")</f>
        <v>0</v>
      </c>
      <c r="F10" s="6" t="n">
        <f aca="false">IF(C10+D10=0,"",C10/(C10+D10))</f>
        <v>0.818181818181818</v>
      </c>
      <c r="G10" s="5" t="s">
        <v>18</v>
      </c>
    </row>
    <row r="11" customFormat="false" ht="15" hidden="false" customHeight="false" outlineLevel="0" collapsed="false">
      <c r="A11" s="4" t="s">
        <v>19</v>
      </c>
      <c r="B11" s="5" t="n">
        <f aca="false">COUNTIFS(Loops!$Z$2:$Z$108,"Y",Loops!$E$2:$E$108,"11+")</f>
        <v>2</v>
      </c>
      <c r="C11" s="5" t="n">
        <f aca="false">COUNTIFS(Loops!$Z$2:$Z$108,"Y",Loops!$E$2:$E$108,"11+",Loops!$K$2:$K$108,"Yes")</f>
        <v>2</v>
      </c>
      <c r="D11" s="5" t="n">
        <f aca="false">COUNTIFS(Loops!$Z$2:$Z$108,"Y",Loops!$E$2:$E$108,"11+",Loops!$K$2:$K$108,"No")</f>
        <v>0</v>
      </c>
      <c r="E11" s="5" t="n">
        <f aca="false">COUNTIFS(Loops!$Z$2:$Z$108,"Y",Loops!$E$2:$E$108,"11+",Loops!$K$2:$K$108,"Unclear")</f>
        <v>0</v>
      </c>
      <c r="F11" s="6" t="n">
        <f aca="false">IF(C11+D11=0,"",C11/(C11+D11))</f>
        <v>1</v>
      </c>
      <c r="G11" s="5" t="s">
        <v>20</v>
      </c>
    </row>
    <row r="12" customFormat="false" ht="15" hidden="false" customHeight="false" outlineLevel="0" collapsed="false">
      <c r="A12" s="4" t="s">
        <v>21</v>
      </c>
      <c r="B12" s="5" t="n">
        <f aca="false">COUNTIFS(Loops!$Z$2:$Z$108,"Y",Loops!$E$2:$E$108,"not stated")</f>
        <v>47</v>
      </c>
      <c r="C12" s="5" t="n">
        <f aca="false">COUNTIFS(Loops!$Z$2:$Z$108,"Y",Loops!$E$2:$E$108,"not stated",Loops!$K$2:$K$108,"Yes")</f>
        <v>37</v>
      </c>
      <c r="D12" s="5" t="n">
        <f aca="false">COUNTIFS(Loops!$Z$2:$Z$108,"Y",Loops!$E$2:$E$108,"not stated",Loops!$K$2:$K$108,"No")</f>
        <v>4</v>
      </c>
      <c r="E12" s="5" t="n">
        <f aca="false">COUNTIFS(Loops!$Z$2:$Z$108,"Y",Loops!$E$2:$E$108,"not stated",Loops!$K$2:$K$108,"Unclear")</f>
        <v>6</v>
      </c>
      <c r="F12" s="6" t="n">
        <f aca="false">IF(C12+D12=0,"",C12/(C12+D12))</f>
        <v>0.902439024390244</v>
      </c>
      <c r="G12" s="5"/>
    </row>
    <row r="13" customFormat="false" ht="15" hidden="false" customHeight="false" outlineLevel="0" collapsed="false">
      <c r="A13" s="4" t="s">
        <v>22</v>
      </c>
      <c r="B13" s="5" t="n">
        <f aca="false">COUNTIFS(Loops!$Z$2:$Z$108,"Y",Loops!$H$2:$H$108,"2024-25")</f>
        <v>79</v>
      </c>
      <c r="C13" s="5" t="n">
        <f aca="false">COUNTIFS(Loops!$Z$2:$Z$108,"Y",Loops!$H$2:$H$108,"2024-25",Loops!$K$2:$K$108,"Yes")</f>
        <v>68</v>
      </c>
      <c r="D13" s="5" t="n">
        <f aca="false">COUNTIFS(Loops!$Z$2:$Z$108,"Y",Loops!$H$2:$H$108,"2024-25",Loops!$K$2:$K$108,"No")</f>
        <v>6</v>
      </c>
      <c r="E13" s="5" t="n">
        <f aca="false">COUNTIFS(Loops!$Z$2:$Z$108,"Y",Loops!$H$2:$H$108,"2024-25",Loops!$K$2:$K$108,"Unclear")</f>
        <v>5</v>
      </c>
      <c r="F13" s="6" t="n">
        <f aca="false">IF(C13+D13=0,"",C13/(C13+D13))</f>
        <v>0.918918918918919</v>
      </c>
      <c r="G13" s="5"/>
    </row>
    <row r="14" customFormat="false" ht="15" hidden="false" customHeight="false" outlineLevel="0" collapsed="false">
      <c r="A14" s="4" t="s">
        <v>23</v>
      </c>
      <c r="B14" s="5" t="n">
        <f aca="false">COUNTIFS(Loops!$Z$2:$Z$108,"Y",Loops!$H$2:$H$108,"2026")</f>
        <v>25</v>
      </c>
      <c r="C14" s="5" t="n">
        <f aca="false">COUNTIFS(Loops!$Z$2:$Z$108,"Y",Loops!$H$2:$H$108,"2026",Loops!$K$2:$K$108,"Yes")</f>
        <v>22</v>
      </c>
      <c r="D14" s="5" t="n">
        <f aca="false">COUNTIFS(Loops!$Z$2:$Z$108,"Y",Loops!$H$2:$H$108,"2026",Loops!$K$2:$K$108,"No")</f>
        <v>2</v>
      </c>
      <c r="E14" s="5" t="n">
        <f aca="false">COUNTIFS(Loops!$Z$2:$Z$108,"Y",Loops!$H$2:$H$108,"2026",Loops!$K$2:$K$108,"Unclear")</f>
        <v>1</v>
      </c>
      <c r="F14" s="6" t="n">
        <f aca="false">IF(C14+D14=0,"",C14/(C14+D14))</f>
        <v>0.916666666666667</v>
      </c>
      <c r="G14" s="5" t="s">
        <v>24</v>
      </c>
    </row>
    <row r="15" customFormat="false" ht="15" hidden="false" customHeight="false" outlineLevel="0" collapsed="false">
      <c r="A15" s="4" t="s">
        <v>25</v>
      </c>
      <c r="B15" s="5" t="n">
        <f aca="false">COUNTIFS(Loops!$Z$2:$Z$108,"Y",Loops!$H$2:$H$108,"2026",Loops!$X$2:$X$108,"N")</f>
        <v>22</v>
      </c>
      <c r="C15" s="5" t="n">
        <f aca="false">COUNTIFS(Loops!$Z$2:$Z$108,"Y",Loops!$H$2:$H$108,"2026",Loops!$X$2:$X$108,"N",Loops!$K$2:$K$108,"Yes")</f>
        <v>19</v>
      </c>
      <c r="D15" s="5" t="n">
        <f aca="false">COUNTIFS(Loops!$Z$2:$Z$108,"Y",Loops!$H$2:$H$108,"2026",Loops!$X$2:$X$108,"N",Loops!$K$2:$K$108,"No")</f>
        <v>2</v>
      </c>
      <c r="E15" s="5" t="n">
        <f aca="false">COUNTIFS(Loops!$Z$2:$Z$108,"Y",Loops!$H$2:$H$108,"2026",Loops!$X$2:$X$108,"N",Loops!$K$2:$K$108,"Unclear")</f>
        <v>1</v>
      </c>
      <c r="F15" s="6" t="n">
        <f aca="false">IF(C15+D15=0,"",C15/(C15+D15))</f>
        <v>0.904761904761905</v>
      </c>
      <c r="G15" s="5" t="s">
        <v>26</v>
      </c>
    </row>
    <row r="16" customFormat="false" ht="15" hidden="false" customHeight="false" outlineLevel="0" collapsed="false">
      <c r="A16" s="4" t="s">
        <v>27</v>
      </c>
      <c r="B16" s="5" t="n">
        <f aca="false">COUNTIFS(Loops!$Z$2:$Z$108,"Y",Loops!$I$2:$I$108,"LeetCode")</f>
        <v>72</v>
      </c>
      <c r="C16" s="5" t="n">
        <f aca="false">COUNTIFS(Loops!$Z$2:$Z$108,"Y",Loops!$I$2:$I$108,"LeetCode",Loops!$K$2:$K$108,"Yes")</f>
        <v>65</v>
      </c>
      <c r="D16" s="5" t="n">
        <f aca="false">COUNTIFS(Loops!$Z$2:$Z$108,"Y",Loops!$I$2:$I$108,"LeetCode",Loops!$K$2:$K$108,"No")</f>
        <v>7</v>
      </c>
      <c r="E16" s="5" t="n">
        <f aca="false">COUNTIFS(Loops!$Z$2:$Z$108,"Y",Loops!$I$2:$I$108,"LeetCode",Loops!$K$2:$K$108,"Unclear")</f>
        <v>0</v>
      </c>
      <c r="F16" s="6" t="n">
        <f aca="false">IF(C16+D16=0,"",C16/(C16+D16))</f>
        <v>0.902777777777778</v>
      </c>
      <c r="G16" s="5" t="s">
        <v>28</v>
      </c>
    </row>
    <row r="17" customFormat="false" ht="15" hidden="false" customHeight="false" outlineLevel="0" collapsed="false">
      <c r="A17" s="4" t="s">
        <v>29</v>
      </c>
      <c r="B17" s="5" t="n">
        <f aca="false">COUNTIFS(Loops!$Z$2:$Z$108,"Y",Loops!$I$2:$I$108,"&lt;&gt;LeetCode")</f>
        <v>32</v>
      </c>
      <c r="C17" s="5" t="n">
        <f aca="false">COUNTIFS(Loops!$Z$2:$Z$108,"Y",Loops!$I$2:$I$108,"&lt;&gt;LeetCode",Loops!$K$2:$K$108,"Yes")</f>
        <v>25</v>
      </c>
      <c r="D17" s="5" t="n">
        <f aca="false">COUNTIFS(Loops!$Z$2:$Z$108,"Y",Loops!$I$2:$I$108,"&lt;&gt;LeetCode",Loops!$K$2:$K$108,"No")</f>
        <v>1</v>
      </c>
      <c r="E17" s="5" t="n">
        <f aca="false">COUNTIFS(Loops!$Z$2:$Z$108,"Y",Loops!$I$2:$I$108,"&lt;&gt;LeetCode",Loops!$K$2:$K$108,"Unclear")</f>
        <v>6</v>
      </c>
      <c r="F17" s="6" t="n">
        <f aca="false">IF(C17+D17=0,"",C17/(C17+D17))</f>
        <v>0.961538461538462</v>
      </c>
      <c r="G17" s="5" t="s">
        <v>30</v>
      </c>
    </row>
    <row r="18" customFormat="false" ht="15" hidden="false" customHeight="false" outlineLevel="0" collapsed="false">
      <c r="A18" s="4" t="s">
        <v>31</v>
      </c>
      <c r="B18" s="5" t="n">
        <f aca="false">B10+B11</f>
        <v>13</v>
      </c>
      <c r="C18" s="5" t="n">
        <f aca="false">C10+C11</f>
        <v>11</v>
      </c>
      <c r="D18" s="5" t="n">
        <f aca="false">D10+D11</f>
        <v>2</v>
      </c>
      <c r="E18" s="5" t="n">
        <f aca="false">E10+E11</f>
        <v>0</v>
      </c>
      <c r="F18" s="6" t="n">
        <f aca="false">IF(C18+D18=0,"",C18/(C18+D18))</f>
        <v>0.846153846153846</v>
      </c>
      <c r="G18" s="5" t="s">
        <v>32</v>
      </c>
    </row>
    <row r="20" customFormat="false" ht="15" hidden="false" customHeight="false" outlineLevel="0" collapsed="false">
      <c r="A20" s="7" t="s">
        <v>33</v>
      </c>
    </row>
    <row r="21" customFormat="false" ht="15" hidden="false" customHeight="false" outlineLevel="0" collapsed="false">
      <c r="A21" s="8" t="s">
        <v>34</v>
      </c>
      <c r="B21" s="8" t="s">
        <v>35</v>
      </c>
      <c r="C21" s="8" t="s">
        <v>36</v>
      </c>
      <c r="D21" s="8" t="s">
        <v>37</v>
      </c>
      <c r="E21" s="8" t="s">
        <v>38</v>
      </c>
    </row>
    <row r="22" customFormat="false" ht="15" hidden="false" customHeight="false" outlineLevel="0" collapsed="false">
      <c r="A22" s="9" t="s">
        <v>39</v>
      </c>
      <c r="B22" s="10" t="n">
        <f aca="false">SUMIFS(Loops!$L$2:$L$108,Loops!$Z$2:$Z$108,"Y",Loops!$X$2:$X$108,"N",Loops!$K$2:$K$108,"&lt;&gt;Unclear")</f>
        <v>122</v>
      </c>
      <c r="C22" s="11" t="n">
        <f aca="false">B22/B32</f>
        <v>0.315245478036176</v>
      </c>
      <c r="D22" s="10" t="n">
        <f aca="false">COUNTIFS(Loops!$Z$2:$Z$108,"Y",Loops!$X$2:$X$108,"N",Loops!$K$2:$K$108,"&lt;&gt;Unclear",Loops!$L$2:$L$108,"&gt;0")</f>
        <v>70</v>
      </c>
      <c r="E22" s="11" t="n">
        <f aca="false">D22/COUNTIFS(Loops!$Z$2:$Z$108,"Y",Loops!$X$2:$X$108,"N",Loops!$K$2:$K$108,"&lt;&gt;Unclear")</f>
        <v>0.897435897435898</v>
      </c>
      <c r="F22" s="10"/>
      <c r="G22" s="10"/>
    </row>
    <row r="23" customFormat="false" ht="15" hidden="false" customHeight="false" outlineLevel="0" collapsed="false">
      <c r="A23" s="9" t="s">
        <v>40</v>
      </c>
      <c r="B23" s="10" t="n">
        <f aca="false">SUMIFS(Loops!$P$2:$P$108,Loops!$Z$2:$Z$108,"Y",Loops!$X$2:$X$108,"N",Loops!$K$2:$K$108,"&lt;&gt;Unclear")</f>
        <v>72</v>
      </c>
      <c r="C23" s="11" t="n">
        <f aca="false">B23/B32</f>
        <v>0.186046511627907</v>
      </c>
      <c r="D23" s="10" t="n">
        <f aca="false">COUNTIFS(Loops!$Z$2:$Z$108,"Y",Loops!$X$2:$X$108,"N",Loops!$K$2:$K$108,"&lt;&gt;Unclear",Loops!$P$2:$P$108,"&gt;0")</f>
        <v>63</v>
      </c>
      <c r="E23" s="11" t="n">
        <f aca="false">D23/COUNTIFS(Loops!$Z$2:$Z$108,"Y",Loops!$X$2:$X$108,"N",Loops!$K$2:$K$108,"&lt;&gt;Unclear")</f>
        <v>0.807692307692308</v>
      </c>
      <c r="F23" s="10"/>
      <c r="G23" s="10"/>
    </row>
    <row r="24" customFormat="false" ht="15" hidden="false" customHeight="false" outlineLevel="0" collapsed="false">
      <c r="A24" s="9" t="s">
        <v>41</v>
      </c>
      <c r="B24" s="10" t="n">
        <f aca="false">SUMIFS(Loops!$V$2:$V$108,Loops!$Z$2:$Z$108,"Y",Loops!$X$2:$X$108,"N",Loops!$K$2:$K$108,"&lt;&gt;Unclear")</f>
        <v>59</v>
      </c>
      <c r="C24" s="11" t="n">
        <f aca="false">B24/B32</f>
        <v>0.152454780361757</v>
      </c>
      <c r="D24" s="10" t="n">
        <f aca="false">COUNTIFS(Loops!$Z$2:$Z$108,"Y",Loops!$X$2:$X$108,"N",Loops!$K$2:$K$108,"&lt;&gt;Unclear",Loops!$V$2:$V$108,"&gt;0")</f>
        <v>51</v>
      </c>
      <c r="E24" s="11" t="n">
        <f aca="false">D24/COUNTIFS(Loops!$Z$2:$Z$108,"Y",Loops!$X$2:$X$108,"N",Loops!$K$2:$K$108,"&lt;&gt;Unclear")</f>
        <v>0.653846153846154</v>
      </c>
      <c r="F24" s="10"/>
      <c r="G24" s="10"/>
    </row>
    <row r="25" customFormat="false" ht="15" hidden="false" customHeight="false" outlineLevel="0" collapsed="false">
      <c r="A25" s="9" t="s">
        <v>42</v>
      </c>
      <c r="B25" s="10" t="n">
        <f aca="false">SUMIFS(Loops!$S$2:$S$108,Loops!$Z$2:$Z$108,"Y",Loops!$X$2:$X$108,"N",Loops!$K$2:$K$108,"&lt;&gt;Unclear")</f>
        <v>44</v>
      </c>
      <c r="C25" s="11" t="n">
        <f aca="false">B25/B32</f>
        <v>0.113695090439276</v>
      </c>
      <c r="D25" s="10" t="n">
        <f aca="false">COUNTIFS(Loops!$Z$2:$Z$108,"Y",Loops!$X$2:$X$108,"N",Loops!$K$2:$K$108,"&lt;&gt;Unclear",Loops!$S$2:$S$108,"&gt;0")</f>
        <v>43</v>
      </c>
      <c r="E25" s="11" t="n">
        <f aca="false">D25/COUNTIFS(Loops!$Z$2:$Z$108,"Y",Loops!$X$2:$X$108,"N",Loops!$K$2:$K$108,"&lt;&gt;Unclear")</f>
        <v>0.551282051282051</v>
      </c>
      <c r="F25" s="10"/>
      <c r="G25" s="10"/>
    </row>
    <row r="26" customFormat="false" ht="15" hidden="false" customHeight="false" outlineLevel="0" collapsed="false">
      <c r="A26" s="9" t="s">
        <v>43</v>
      </c>
      <c r="B26" s="10" t="n">
        <f aca="false">SUMIFS(Loops!$O$2:$O$108,Loops!$Z$2:$Z$108,"Y",Loops!$X$2:$X$108,"N",Loops!$K$2:$K$108,"&lt;&gt;Unclear")</f>
        <v>33</v>
      </c>
      <c r="C26" s="11" t="n">
        <f aca="false">B26/B32</f>
        <v>0.0852713178294574</v>
      </c>
      <c r="D26" s="10" t="n">
        <f aca="false">COUNTIFS(Loops!$Z$2:$Z$108,"Y",Loops!$X$2:$X$108,"N",Loops!$K$2:$K$108,"&lt;&gt;Unclear",Loops!$O$2:$O$108,"&gt;0")</f>
        <v>32</v>
      </c>
      <c r="E26" s="11" t="n">
        <f aca="false">D26/COUNTIFS(Loops!$Z$2:$Z$108,"Y",Loops!$X$2:$X$108,"N",Loops!$K$2:$K$108,"&lt;&gt;Unclear")</f>
        <v>0.41025641025641</v>
      </c>
      <c r="F26" s="10"/>
      <c r="G26" s="10"/>
    </row>
    <row r="27" customFormat="false" ht="15" hidden="false" customHeight="false" outlineLevel="0" collapsed="false">
      <c r="A27" s="9" t="s">
        <v>44</v>
      </c>
      <c r="B27" s="10" t="n">
        <f aca="false">SUMIFS(Loops!$U$2:$U$108,Loops!$Z$2:$Z$108,"Y",Loops!$X$2:$X$108,"N",Loops!$K$2:$K$108,"&lt;&gt;Unclear")</f>
        <v>25</v>
      </c>
      <c r="C27" s="11" t="n">
        <f aca="false">B27/B32</f>
        <v>0.0645994832041344</v>
      </c>
      <c r="D27" s="10" t="n">
        <f aca="false">COUNTIFS(Loops!$Z$2:$Z$108,"Y",Loops!$X$2:$X$108,"N",Loops!$K$2:$K$108,"&lt;&gt;Unclear",Loops!$U$2:$U$108,"&gt;0")</f>
        <v>23</v>
      </c>
      <c r="E27" s="11" t="n">
        <f aca="false">D27/COUNTIFS(Loops!$Z$2:$Z$108,"Y",Loops!$X$2:$X$108,"N",Loops!$K$2:$K$108,"&lt;&gt;Unclear")</f>
        <v>0.294871794871795</v>
      </c>
      <c r="F27" s="10"/>
      <c r="G27" s="10"/>
    </row>
    <row r="28" customFormat="false" ht="15" hidden="false" customHeight="false" outlineLevel="0" collapsed="false">
      <c r="A28" s="9" t="s">
        <v>45</v>
      </c>
      <c r="B28" s="10" t="n">
        <f aca="false">SUMIFS(Loops!$N$2:$N$108,Loops!$Z$2:$Z$108,"Y",Loops!$X$2:$X$108,"N",Loops!$K$2:$K$108,"&lt;&gt;Unclear")</f>
        <v>19</v>
      </c>
      <c r="C28" s="11" t="n">
        <f aca="false">B28/B32</f>
        <v>0.0490956072351421</v>
      </c>
      <c r="D28" s="10" t="n">
        <f aca="false">COUNTIFS(Loops!$Z$2:$Z$108,"Y",Loops!$X$2:$X$108,"N",Loops!$K$2:$K$108,"&lt;&gt;Unclear",Loops!$N$2:$N$108,"&gt;0")</f>
        <v>18</v>
      </c>
      <c r="E28" s="11" t="n">
        <f aca="false">D28/COUNTIFS(Loops!$Z$2:$Z$108,"Y",Loops!$X$2:$X$108,"N",Loops!$K$2:$K$108,"&lt;&gt;Unclear")</f>
        <v>0.230769230769231</v>
      </c>
      <c r="F28" s="10"/>
      <c r="G28" s="10"/>
    </row>
    <row r="29" customFormat="false" ht="15" hidden="false" customHeight="false" outlineLevel="0" collapsed="false">
      <c r="A29" s="9" t="s">
        <v>46</v>
      </c>
      <c r="B29" s="10" t="n">
        <f aca="false">SUMIFS(Loops!$R$2:$R$108,Loops!$Z$2:$Z$108,"Y",Loops!$X$2:$X$108,"N",Loops!$K$2:$K$108,"&lt;&gt;Unclear")</f>
        <v>6</v>
      </c>
      <c r="C29" s="11" t="n">
        <f aca="false">B29/B32</f>
        <v>0.0155038759689922</v>
      </c>
      <c r="D29" s="10" t="n">
        <f aca="false">COUNTIFS(Loops!$Z$2:$Z$108,"Y",Loops!$X$2:$X$108,"N",Loops!$K$2:$K$108,"&lt;&gt;Unclear",Loops!$R$2:$R$108,"&gt;0")</f>
        <v>6</v>
      </c>
      <c r="E29" s="11" t="n">
        <f aca="false">D29/COUNTIFS(Loops!$Z$2:$Z$108,"Y",Loops!$X$2:$X$108,"N",Loops!$K$2:$K$108,"&lt;&gt;Unclear")</f>
        <v>0.0769230769230769</v>
      </c>
      <c r="F29" s="10"/>
      <c r="G29" s="10"/>
    </row>
    <row r="30" customFormat="false" ht="15" hidden="false" customHeight="false" outlineLevel="0" collapsed="false">
      <c r="A30" s="9" t="s">
        <v>47</v>
      </c>
      <c r="B30" s="10" t="n">
        <f aca="false">SUMIFS(Loops!$T$2:$T$108,Loops!$Z$2:$Z$108,"Y",Loops!$X$2:$X$108,"N",Loops!$K$2:$K$108,"&lt;&gt;Unclear")</f>
        <v>5</v>
      </c>
      <c r="C30" s="11" t="n">
        <f aca="false">B30/B32</f>
        <v>0.0129198966408269</v>
      </c>
      <c r="D30" s="10" t="n">
        <f aca="false">COUNTIFS(Loops!$Z$2:$Z$108,"Y",Loops!$X$2:$X$108,"N",Loops!$K$2:$K$108,"&lt;&gt;Unclear",Loops!$T$2:$T$108,"&gt;0")</f>
        <v>5</v>
      </c>
      <c r="E30" s="11" t="n">
        <f aca="false">D30/COUNTIFS(Loops!$Z$2:$Z$108,"Y",Loops!$X$2:$X$108,"N",Loops!$K$2:$K$108,"&lt;&gt;Unclear")</f>
        <v>0.0641025641025641</v>
      </c>
      <c r="F30" s="10"/>
      <c r="G30" s="10"/>
    </row>
    <row r="31" customFormat="false" ht="15" hidden="false" customHeight="false" outlineLevel="0" collapsed="false">
      <c r="A31" s="9" t="s">
        <v>48</v>
      </c>
      <c r="B31" s="10" t="n">
        <f aca="false">SUMIFS(Loops!$Q$2:$Q$108,Loops!$Z$2:$Z$108,"Y",Loops!$X$2:$X$108,"N",Loops!$K$2:$K$108,"&lt;&gt;Unclear")</f>
        <v>2</v>
      </c>
      <c r="C31" s="11" t="n">
        <f aca="false">B31/B32</f>
        <v>0.00516795865633075</v>
      </c>
      <c r="D31" s="10" t="n">
        <f aca="false">COUNTIFS(Loops!$Z$2:$Z$108,"Y",Loops!$X$2:$X$108,"N",Loops!$K$2:$K$108,"&lt;&gt;Unclear",Loops!$Q$2:$Q$108,"&gt;0")</f>
        <v>2</v>
      </c>
      <c r="E31" s="11" t="n">
        <f aca="false">D31/COUNTIFS(Loops!$Z$2:$Z$108,"Y",Loops!$X$2:$X$108,"N",Loops!$K$2:$K$108,"&lt;&gt;Unclear")</f>
        <v>0.0256410256410256</v>
      </c>
      <c r="F31" s="10"/>
      <c r="G31" s="10"/>
    </row>
    <row r="32" customFormat="false" ht="15" hidden="false" customHeight="false" outlineLevel="0" collapsed="false">
      <c r="A32" s="9" t="s">
        <v>49</v>
      </c>
      <c r="B32" s="10" t="n">
        <f aca="false">SUM(B22:B31)</f>
        <v>387</v>
      </c>
      <c r="C32" s="11"/>
      <c r="D32" s="10" t="n">
        <f aca="false">COUNTIFS(Loops!$Z$2:$Z$108,"Y",Loops!$X$2:$X$108,"N",Loops!$K$2:$K$108,"&lt;&gt;Unclear")</f>
        <v>78</v>
      </c>
      <c r="E32" s="11" t="s">
        <v>50</v>
      </c>
      <c r="F32" s="10"/>
      <c r="G32" s="10"/>
    </row>
    <row r="34" customFormat="false" ht="15" hidden="false" customHeight="false" outlineLevel="0" collapsed="false">
      <c r="A34" s="7" t="s">
        <v>51</v>
      </c>
    </row>
    <row r="35" customFormat="false" ht="15" hidden="false" customHeight="false" outlineLevel="0" collapsed="false">
      <c r="A35" s="9" t="s">
        <v>52</v>
      </c>
      <c r="B35" s="12" t="n">
        <v>117.5</v>
      </c>
      <c r="C35" s="13" t="s">
        <v>53</v>
      </c>
    </row>
    <row r="36" customFormat="false" ht="15" hidden="false" customHeight="false" outlineLevel="0" collapsed="false">
      <c r="A36" s="9" t="s">
        <v>54</v>
      </c>
      <c r="B36" s="12" t="n">
        <v>558</v>
      </c>
      <c r="C36" s="13"/>
    </row>
    <row r="37" customFormat="false" ht="15" hidden="false" customHeight="false" outlineLevel="0" collapsed="false">
      <c r="A37" s="9" t="s">
        <v>55</v>
      </c>
      <c r="B37" s="11" t="n">
        <f aca="false">B35/B36</f>
        <v>0.210573476702509</v>
      </c>
      <c r="C37" s="13"/>
    </row>
    <row r="38" customFormat="false" ht="15" hidden="false" customHeight="false" outlineLevel="0" collapsed="false">
      <c r="A38" s="9" t="s">
        <v>56</v>
      </c>
      <c r="B38" s="11" t="n">
        <f aca="false">C22</f>
        <v>0.315245478036176</v>
      </c>
      <c r="C38" s="13"/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4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6" min="15" style="0" width="6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3" min="22" style="0" width="10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10"/>
    <col collapsed="false" customWidth="true" hidden="false" outlineLevel="0" max="27" min="27" style="0" width="16"/>
    <col collapsed="false" customWidth="true" hidden="false" outlineLevel="0" max="28" min="28" style="0" width="48"/>
  </cols>
  <sheetData>
    <row r="1" customFormat="false" ht="42" hidden="false" customHeight="true" outlineLevel="0" collapsed="false">
      <c r="A1" s="14" t="s">
        <v>57</v>
      </c>
      <c r="B1" s="14" t="s">
        <v>58</v>
      </c>
      <c r="C1" s="14" t="s">
        <v>59</v>
      </c>
      <c r="D1" s="14" t="s">
        <v>60</v>
      </c>
      <c r="E1" s="14" t="s">
        <v>61</v>
      </c>
      <c r="F1" s="14" t="s">
        <v>62</v>
      </c>
      <c r="G1" s="14" t="s">
        <v>63</v>
      </c>
      <c r="H1" s="14" t="s">
        <v>64</v>
      </c>
      <c r="I1" s="14" t="s">
        <v>65</v>
      </c>
      <c r="J1" s="14" t="s">
        <v>66</v>
      </c>
      <c r="K1" s="14" t="s">
        <v>67</v>
      </c>
      <c r="L1" s="14" t="s">
        <v>68</v>
      </c>
      <c r="M1" s="14" t="s">
        <v>69</v>
      </c>
      <c r="N1" s="14" t="s">
        <v>45</v>
      </c>
      <c r="O1" s="14" t="s">
        <v>43</v>
      </c>
      <c r="P1" s="14" t="s">
        <v>70</v>
      </c>
      <c r="Q1" s="14" t="s">
        <v>48</v>
      </c>
      <c r="R1" s="14" t="s">
        <v>46</v>
      </c>
      <c r="S1" s="14" t="s">
        <v>42</v>
      </c>
      <c r="T1" s="14" t="s">
        <v>47</v>
      </c>
      <c r="U1" s="14" t="s">
        <v>44</v>
      </c>
      <c r="V1" s="14" t="s">
        <v>41</v>
      </c>
      <c r="W1" s="14" t="s">
        <v>71</v>
      </c>
      <c r="X1" s="14" t="s">
        <v>72</v>
      </c>
      <c r="Y1" s="14" t="s">
        <v>73</v>
      </c>
      <c r="Z1" s="14" t="s">
        <v>74</v>
      </c>
      <c r="AA1" s="14" t="s">
        <v>75</v>
      </c>
      <c r="AB1" s="14" t="s">
        <v>76</v>
      </c>
    </row>
    <row r="2" customFormat="false" ht="15" hidden="false" customHeight="false" outlineLevel="0" collapsed="false">
      <c r="A2" s="5" t="n">
        <v>1</v>
      </c>
      <c r="B2" s="15" t="s">
        <v>77</v>
      </c>
      <c r="C2" s="15" t="s">
        <v>78</v>
      </c>
      <c r="D2" s="5"/>
      <c r="E2" s="5" t="str">
        <f aca="false">IF(D2="","not stated",IF(D2&lt;6,"&lt;6",IF(D2&lt;8,"6-7",IF(D2&lt;11,"8-10","11+"))))</f>
        <v>not stated</v>
      </c>
      <c r="F2" s="15" t="s">
        <v>79</v>
      </c>
      <c r="G2" s="5" t="s">
        <v>80</v>
      </c>
      <c r="H2" s="5" t="str">
        <f aca="false">IF(LEFT(G2,4)="2026","2026","2024-25")</f>
        <v>2026</v>
      </c>
      <c r="I2" s="5" t="s">
        <v>81</v>
      </c>
      <c r="J2" s="16" t="s">
        <v>82</v>
      </c>
      <c r="K2" s="5" t="str">
        <f aca="false">IF(ISNUMBER(L2),IF(L2&gt;0,"Yes","No"),"Unclear")</f>
        <v>Unclear</v>
      </c>
      <c r="L2" s="5" t="s">
        <v>83</v>
      </c>
      <c r="M2" s="5" t="s">
        <v>84</v>
      </c>
      <c r="N2" s="5" t="n">
        <v>0</v>
      </c>
      <c r="O2" s="5" t="n">
        <v>0</v>
      </c>
      <c r="P2" s="5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1</v>
      </c>
      <c r="W2" s="5" t="str">
        <f aca="false">IF(ISNUMBER(L2),L2+SUM(N2:V2),"")</f>
        <v/>
      </c>
      <c r="X2" s="5" t="s">
        <v>85</v>
      </c>
      <c r="Y2" s="5"/>
      <c r="Z2" s="5" t="s">
        <v>86</v>
      </c>
      <c r="AA2" s="15" t="s">
        <v>87</v>
      </c>
      <c r="AB2" s="15"/>
    </row>
    <row r="3" customFormat="false" ht="23.85" hidden="false" customHeight="false" outlineLevel="0" collapsed="false">
      <c r="A3" s="5" t="n">
        <v>2</v>
      </c>
      <c r="B3" s="15" t="s">
        <v>88</v>
      </c>
      <c r="C3" s="15" t="s">
        <v>89</v>
      </c>
      <c r="D3" s="5"/>
      <c r="E3" s="5" t="str">
        <f aca="false">IF(D3="","not stated",IF(D3&lt;6,"&lt;6",IF(D3&lt;8,"6-7",IF(D3&lt;11,"8-10","11+"))))</f>
        <v>not stated</v>
      </c>
      <c r="F3" s="15" t="s">
        <v>79</v>
      </c>
      <c r="G3" s="5" t="s">
        <v>90</v>
      </c>
      <c r="H3" s="5" t="str">
        <f aca="false">IF(LEFT(G3,4)="2026","2026","2024-25")</f>
        <v>2026</v>
      </c>
      <c r="I3" s="5" t="s">
        <v>81</v>
      </c>
      <c r="J3" s="16" t="s">
        <v>91</v>
      </c>
      <c r="K3" s="5" t="str">
        <f aca="false">IF(ISNUMBER(L3),IF(L3&gt;0,"Yes","No"),"Unclear")</f>
        <v>Yes</v>
      </c>
      <c r="L3" s="5" t="n">
        <v>1</v>
      </c>
      <c r="M3" s="5" t="s">
        <v>84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f aca="false">IF(ISNUMBER(L3),L3+SUM(N3:V3),"")</f>
        <v>1</v>
      </c>
      <c r="X3" s="5" t="s">
        <v>86</v>
      </c>
      <c r="Y3" s="5"/>
      <c r="Z3" s="5" t="s">
        <v>86</v>
      </c>
      <c r="AA3" s="15" t="s">
        <v>92</v>
      </c>
      <c r="AB3" s="15" t="s">
        <v>93</v>
      </c>
    </row>
    <row r="4" customFormat="false" ht="23.85" hidden="false" customHeight="false" outlineLevel="0" collapsed="false">
      <c r="A4" s="5" t="n">
        <v>3</v>
      </c>
      <c r="B4" s="15" t="s">
        <v>94</v>
      </c>
      <c r="C4" s="15" t="s">
        <v>78</v>
      </c>
      <c r="D4" s="5"/>
      <c r="E4" s="5" t="str">
        <f aca="false">IF(D4="","not stated",IF(D4&lt;6,"&lt;6",IF(D4&lt;8,"6-7",IF(D4&lt;11,"8-10","11+"))))</f>
        <v>not stated</v>
      </c>
      <c r="F4" s="15" t="s">
        <v>95</v>
      </c>
      <c r="G4" s="5" t="s">
        <v>90</v>
      </c>
      <c r="H4" s="5" t="str">
        <f aca="false">IF(LEFT(G4,4)="2026","2026","2024-25")</f>
        <v>2026</v>
      </c>
      <c r="I4" s="5" t="s">
        <v>81</v>
      </c>
      <c r="J4" s="16" t="s">
        <v>96</v>
      </c>
      <c r="K4" s="5" t="str">
        <f aca="false">IF(ISNUMBER(L4),IF(L4&gt;0,"Yes","No"),"Unclear")</f>
        <v>Yes</v>
      </c>
      <c r="L4" s="5" t="n">
        <v>2</v>
      </c>
      <c r="M4" s="5" t="s">
        <v>97</v>
      </c>
      <c r="N4" s="5" t="n">
        <v>0</v>
      </c>
      <c r="O4" s="5" t="n">
        <v>0</v>
      </c>
      <c r="P4" s="5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1</v>
      </c>
      <c r="W4" s="5" t="n">
        <f aca="false">IF(ISNUMBER(L4),L4+SUM(N4:V4),"")</f>
        <v>4</v>
      </c>
      <c r="X4" s="5" t="s">
        <v>85</v>
      </c>
      <c r="Y4" s="5"/>
      <c r="Z4" s="5" t="s">
        <v>86</v>
      </c>
      <c r="AA4" s="15" t="s">
        <v>98</v>
      </c>
      <c r="AB4" s="15" t="s">
        <v>99</v>
      </c>
    </row>
    <row r="5" customFormat="false" ht="23.85" hidden="false" customHeight="false" outlineLevel="0" collapsed="false">
      <c r="A5" s="5" t="n">
        <v>4</v>
      </c>
      <c r="B5" s="15" t="s">
        <v>100</v>
      </c>
      <c r="C5" s="15" t="s">
        <v>101</v>
      </c>
      <c r="D5" s="5"/>
      <c r="E5" s="5" t="str">
        <f aca="false">IF(D5="","not stated",IF(D5&lt;6,"&lt;6",IF(D5&lt;8,"6-7",IF(D5&lt;11,"8-10","11+"))))</f>
        <v>not stated</v>
      </c>
      <c r="F5" s="15" t="s">
        <v>79</v>
      </c>
      <c r="G5" s="5" t="s">
        <v>90</v>
      </c>
      <c r="H5" s="5" t="str">
        <f aca="false">IF(LEFT(G5,4)="2026","2026","2024-25")</f>
        <v>2026</v>
      </c>
      <c r="I5" s="5" t="s">
        <v>81</v>
      </c>
      <c r="J5" s="16" t="s">
        <v>102</v>
      </c>
      <c r="K5" s="5" t="str">
        <f aca="false">IF(ISNUMBER(L5),IF(L5&gt;0,"Yes","No"),"Unclear")</f>
        <v>Yes</v>
      </c>
      <c r="L5" s="5" t="n">
        <v>1</v>
      </c>
      <c r="M5" s="5" t="s">
        <v>97</v>
      </c>
      <c r="N5" s="5" t="n">
        <v>1</v>
      </c>
      <c r="O5" s="5" t="n">
        <v>0</v>
      </c>
      <c r="P5" s="5" t="n">
        <v>1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f aca="false">IF(ISNUMBER(L5),L5+SUM(N5:V5),"")</f>
        <v>5</v>
      </c>
      <c r="X5" s="5" t="s">
        <v>85</v>
      </c>
      <c r="Y5" s="5"/>
      <c r="Z5" s="5" t="s">
        <v>86</v>
      </c>
      <c r="AA5" s="15" t="s">
        <v>98</v>
      </c>
      <c r="AB5" s="15" t="s">
        <v>103</v>
      </c>
    </row>
    <row r="6" customFormat="false" ht="23.85" hidden="false" customHeight="false" outlineLevel="0" collapsed="false">
      <c r="A6" s="5" t="n">
        <v>5</v>
      </c>
      <c r="B6" s="15" t="s">
        <v>104</v>
      </c>
      <c r="C6" s="15" t="s">
        <v>105</v>
      </c>
      <c r="D6" s="5" t="n">
        <v>8.5</v>
      </c>
      <c r="E6" s="5" t="str">
        <f aca="false">IF(D6="","not stated",IF(D6&lt;6,"&lt;6",IF(D6&lt;8,"6-7",IF(D6&lt;11,"8-10","11+"))))</f>
        <v>8-10</v>
      </c>
      <c r="F6" s="15" t="s">
        <v>106</v>
      </c>
      <c r="G6" s="5" t="s">
        <v>107</v>
      </c>
      <c r="H6" s="5" t="str">
        <f aca="false">IF(LEFT(G6,4)="2026","2026","2024-25")</f>
        <v>2026</v>
      </c>
      <c r="I6" s="5" t="s">
        <v>108</v>
      </c>
      <c r="J6" s="16" t="s">
        <v>109</v>
      </c>
      <c r="K6" s="5" t="str">
        <f aca="false">IF(ISNUMBER(L6),IF(L6&gt;0,"Yes","No"),"Unclear")</f>
        <v>Yes</v>
      </c>
      <c r="L6" s="5" t="n">
        <v>1</v>
      </c>
      <c r="M6" s="5" t="s">
        <v>97</v>
      </c>
      <c r="N6" s="5" t="n">
        <v>0</v>
      </c>
      <c r="O6" s="5" t="n">
        <v>1</v>
      </c>
      <c r="P6" s="5" t="n">
        <v>1</v>
      </c>
      <c r="Q6" s="5" t="n">
        <v>0</v>
      </c>
      <c r="R6" s="5" t="n">
        <v>0</v>
      </c>
      <c r="S6" s="5" t="n">
        <v>1</v>
      </c>
      <c r="T6" s="5" t="n">
        <v>0</v>
      </c>
      <c r="U6" s="5" t="n">
        <v>0</v>
      </c>
      <c r="V6" s="5" t="n">
        <v>1</v>
      </c>
      <c r="W6" s="5" t="n">
        <f aca="false">IF(ISNUMBER(L6),L6+SUM(N6:V6),"")</f>
        <v>5</v>
      </c>
      <c r="X6" s="5" t="s">
        <v>85</v>
      </c>
      <c r="Y6" s="5"/>
      <c r="Z6" s="5" t="s">
        <v>86</v>
      </c>
      <c r="AA6" s="15" t="s">
        <v>110</v>
      </c>
      <c r="AB6" s="15"/>
    </row>
    <row r="7" customFormat="false" ht="15" hidden="false" customHeight="false" outlineLevel="0" collapsed="false">
      <c r="A7" s="5" t="n">
        <v>6</v>
      </c>
      <c r="B7" s="15" t="s">
        <v>104</v>
      </c>
      <c r="C7" s="15" t="s">
        <v>111</v>
      </c>
      <c r="D7" s="5" t="n">
        <v>3.8</v>
      </c>
      <c r="E7" s="5" t="str">
        <f aca="false">IF(D7="","not stated",IF(D7&lt;6,"&lt;6",IF(D7&lt;8,"6-7",IF(D7&lt;11,"8-10","11+"))))</f>
        <v>&lt;6</v>
      </c>
      <c r="F7" s="15" t="s">
        <v>112</v>
      </c>
      <c r="G7" s="5" t="s">
        <v>113</v>
      </c>
      <c r="H7" s="5" t="str">
        <f aca="false">IF(LEFT(G7,4)="2026","2026","2024-25")</f>
        <v>2026</v>
      </c>
      <c r="I7" s="5" t="s">
        <v>108</v>
      </c>
      <c r="J7" s="16" t="s">
        <v>114</v>
      </c>
      <c r="K7" s="5" t="str">
        <f aca="false">IF(ISNUMBER(L7),IF(L7&gt;0,"Yes","No"),"Unclear")</f>
        <v>Yes</v>
      </c>
      <c r="L7" s="5" t="n">
        <v>1</v>
      </c>
      <c r="M7" s="5" t="s">
        <v>97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1</v>
      </c>
      <c r="V7" s="5" t="n">
        <v>1</v>
      </c>
      <c r="W7" s="5" t="n">
        <f aca="false">IF(ISNUMBER(L7),L7+SUM(N7:V7),"")</f>
        <v>5</v>
      </c>
      <c r="X7" s="5" t="s">
        <v>85</v>
      </c>
      <c r="Y7" s="5"/>
      <c r="Z7" s="5" t="s">
        <v>86</v>
      </c>
      <c r="AA7" s="15" t="s">
        <v>115</v>
      </c>
      <c r="AB7" s="15"/>
    </row>
    <row r="8" customFormat="false" ht="15" hidden="false" customHeight="false" outlineLevel="0" collapsed="false">
      <c r="A8" s="5" t="n">
        <v>7</v>
      </c>
      <c r="B8" s="15" t="s">
        <v>116</v>
      </c>
      <c r="C8" s="15" t="s">
        <v>117</v>
      </c>
      <c r="D8" s="5" t="n">
        <v>6.75</v>
      </c>
      <c r="E8" s="5" t="str">
        <f aca="false">IF(D8="","not stated",IF(D8&lt;6,"&lt;6",IF(D8&lt;8,"6-7",IF(D8&lt;11,"8-10","11+"))))</f>
        <v>6-7</v>
      </c>
      <c r="F8" s="15" t="s">
        <v>118</v>
      </c>
      <c r="G8" s="5" t="s">
        <v>113</v>
      </c>
      <c r="H8" s="5" t="str">
        <f aca="false">IF(LEFT(G8,4)="2026","2026","2024-25")</f>
        <v>2026</v>
      </c>
      <c r="I8" s="5" t="s">
        <v>108</v>
      </c>
      <c r="J8" s="16" t="s">
        <v>119</v>
      </c>
      <c r="K8" s="5" t="str">
        <f aca="false">IF(ISNUMBER(L8),IF(L8&gt;0,"Yes","No"),"Unclear")</f>
        <v>Yes</v>
      </c>
      <c r="L8" s="5" t="n">
        <v>1</v>
      </c>
      <c r="M8" s="5" t="s">
        <v>97</v>
      </c>
      <c r="N8" s="5" t="n">
        <v>0</v>
      </c>
      <c r="O8" s="5" t="n">
        <v>0</v>
      </c>
      <c r="P8" s="5" t="n">
        <v>1</v>
      </c>
      <c r="Q8" s="5" t="n">
        <v>0</v>
      </c>
      <c r="R8" s="5" t="n">
        <v>0</v>
      </c>
      <c r="S8" s="5" t="n">
        <v>1</v>
      </c>
      <c r="T8" s="5" t="n">
        <v>0</v>
      </c>
      <c r="U8" s="5" t="n">
        <v>0</v>
      </c>
      <c r="V8" s="5" t="n">
        <v>1</v>
      </c>
      <c r="W8" s="5" t="n">
        <f aca="false">IF(ISNUMBER(L8),L8+SUM(N8:V8),"")</f>
        <v>4</v>
      </c>
      <c r="X8" s="5" t="s">
        <v>85</v>
      </c>
      <c r="Y8" s="5"/>
      <c r="Z8" s="5" t="s">
        <v>86</v>
      </c>
      <c r="AA8" s="15" t="s">
        <v>98</v>
      </c>
      <c r="AB8" s="15" t="s">
        <v>120</v>
      </c>
    </row>
    <row r="9" customFormat="false" ht="15" hidden="false" customHeight="false" outlineLevel="0" collapsed="false">
      <c r="A9" s="5" t="n">
        <v>8</v>
      </c>
      <c r="B9" s="15" t="s">
        <v>94</v>
      </c>
      <c r="C9" s="15" t="s">
        <v>121</v>
      </c>
      <c r="D9" s="5" t="n">
        <v>9</v>
      </c>
      <c r="E9" s="5" t="str">
        <f aca="false">IF(D9="","not stated",IF(D9&lt;6,"&lt;6",IF(D9&lt;8,"6-7",IF(D9&lt;11,"8-10","11+"))))</f>
        <v>8-10</v>
      </c>
      <c r="F9" s="15" t="s">
        <v>95</v>
      </c>
      <c r="G9" s="5" t="s">
        <v>122</v>
      </c>
      <c r="H9" s="5" t="str">
        <f aca="false">IF(LEFT(G9,4)="2026","2026","2024-25")</f>
        <v>2026</v>
      </c>
      <c r="I9" s="5" t="s">
        <v>108</v>
      </c>
      <c r="J9" s="16" t="s">
        <v>123</v>
      </c>
      <c r="K9" s="5" t="str">
        <f aca="false">IF(ISNUMBER(L9),IF(L9&gt;0,"Yes","No"),"Unclear")</f>
        <v>Yes</v>
      </c>
      <c r="L9" s="5" t="n">
        <v>2</v>
      </c>
      <c r="M9" s="5" t="s">
        <v>124</v>
      </c>
      <c r="N9" s="5" t="n">
        <v>1</v>
      </c>
      <c r="O9" s="5" t="n">
        <v>1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f aca="false">IF(ISNUMBER(L9),L9+SUM(N9:V9),"")</f>
        <v>6</v>
      </c>
      <c r="X9" s="5" t="s">
        <v>85</v>
      </c>
      <c r="Y9" s="5"/>
      <c r="Z9" s="5" t="s">
        <v>86</v>
      </c>
      <c r="AA9" s="15" t="s">
        <v>125</v>
      </c>
      <c r="AB9" s="15"/>
    </row>
    <row r="10" customFormat="false" ht="15" hidden="false" customHeight="false" outlineLevel="0" collapsed="false">
      <c r="A10" s="5" t="n">
        <v>9</v>
      </c>
      <c r="B10" s="15" t="s">
        <v>126</v>
      </c>
      <c r="C10" s="15" t="s">
        <v>127</v>
      </c>
      <c r="D10" s="5" t="n">
        <v>6</v>
      </c>
      <c r="E10" s="5" t="str">
        <f aca="false">IF(D10="","not stated",IF(D10&lt;6,"&lt;6",IF(D10&lt;8,"6-7",IF(D10&lt;11,"8-10","11+"))))</f>
        <v>6-7</v>
      </c>
      <c r="F10" s="15" t="s">
        <v>128</v>
      </c>
      <c r="G10" s="5" t="s">
        <v>122</v>
      </c>
      <c r="H10" s="5" t="str">
        <f aca="false">IF(LEFT(G10,4)="2026","2026","2024-25")</f>
        <v>2026</v>
      </c>
      <c r="I10" s="5" t="s">
        <v>108</v>
      </c>
      <c r="J10" s="16" t="s">
        <v>129</v>
      </c>
      <c r="K10" s="5" t="str">
        <f aca="false">IF(ISNUMBER(L10),IF(L10&gt;0,"Yes","No"),"Unclear")</f>
        <v>Yes</v>
      </c>
      <c r="L10" s="5" t="n">
        <v>1</v>
      </c>
      <c r="M10" s="5" t="s">
        <v>130</v>
      </c>
      <c r="N10" s="5" t="n">
        <v>1</v>
      </c>
      <c r="O10" s="5" t="n">
        <v>0</v>
      </c>
      <c r="P10" s="5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f aca="false">IF(ISNUMBER(L10),L10+SUM(N10:V10),"")</f>
        <v>3</v>
      </c>
      <c r="X10" s="5" t="s">
        <v>85</v>
      </c>
      <c r="Y10" s="5"/>
      <c r="Z10" s="5" t="s">
        <v>86</v>
      </c>
      <c r="AA10" s="15" t="s">
        <v>131</v>
      </c>
      <c r="AB10" s="15"/>
    </row>
    <row r="11" customFormat="false" ht="35.05" hidden="false" customHeight="false" outlineLevel="0" collapsed="false">
      <c r="A11" s="5" t="n">
        <v>10</v>
      </c>
      <c r="B11" s="15" t="s">
        <v>132</v>
      </c>
      <c r="C11" s="15" t="s">
        <v>133</v>
      </c>
      <c r="D11" s="5"/>
      <c r="E11" s="5" t="str">
        <f aca="false">IF(D11="","not stated",IF(D11&lt;6,"&lt;6",IF(D11&lt;8,"6-7",IF(D11&lt;11,"8-10","11+"))))</f>
        <v>not stated</v>
      </c>
      <c r="F11" s="15" t="s">
        <v>134</v>
      </c>
      <c r="G11" s="5" t="s">
        <v>122</v>
      </c>
      <c r="H11" s="5" t="str">
        <f aca="false">IF(LEFT(G11,4)="2026","2026","2024-25")</f>
        <v>2026</v>
      </c>
      <c r="I11" s="5" t="s">
        <v>108</v>
      </c>
      <c r="J11" s="16" t="s">
        <v>135</v>
      </c>
      <c r="K11" s="5" t="str">
        <f aca="false">IF(ISNUMBER(L11),IF(L11&gt;0,"Yes","No"),"Unclear")</f>
        <v>Yes</v>
      </c>
      <c r="L11" s="5" t="n">
        <v>1</v>
      </c>
      <c r="M11" s="5" t="s">
        <v>84</v>
      </c>
      <c r="N11" s="5" t="n">
        <v>0</v>
      </c>
      <c r="O11" s="5" t="n">
        <v>1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f aca="false">IF(ISNUMBER(L11),L11+SUM(N11:V11),"")</f>
        <v>4</v>
      </c>
      <c r="X11" s="5" t="s">
        <v>85</v>
      </c>
      <c r="Y11" s="5"/>
      <c r="Z11" s="5" t="s">
        <v>86</v>
      </c>
      <c r="AA11" s="15" t="s">
        <v>115</v>
      </c>
      <c r="AB11" s="15" t="s">
        <v>136</v>
      </c>
    </row>
    <row r="12" customFormat="false" ht="15" hidden="false" customHeight="false" outlineLevel="0" collapsed="false">
      <c r="A12" s="5" t="n">
        <v>11</v>
      </c>
      <c r="B12" s="15" t="s">
        <v>137</v>
      </c>
      <c r="C12" s="15" t="s">
        <v>138</v>
      </c>
      <c r="D12" s="5"/>
      <c r="E12" s="5" t="str">
        <f aca="false">IF(D12="","not stated",IF(D12&lt;6,"&lt;6",IF(D12&lt;8,"6-7",IF(D12&lt;11,"8-10","11+"))))</f>
        <v>not stated</v>
      </c>
      <c r="F12" s="15" t="s">
        <v>139</v>
      </c>
      <c r="G12" s="5" t="s">
        <v>122</v>
      </c>
      <c r="H12" s="5" t="str">
        <f aca="false">IF(LEFT(G12,4)="2026","2026","2024-25")</f>
        <v>2026</v>
      </c>
      <c r="I12" s="5" t="s">
        <v>108</v>
      </c>
      <c r="J12" s="16" t="s">
        <v>140</v>
      </c>
      <c r="K12" s="5" t="str">
        <f aca="false">IF(ISNUMBER(L12),IF(L12&gt;0,"Yes","No"),"Unclear")</f>
        <v>No</v>
      </c>
      <c r="L12" s="5" t="n">
        <v>0</v>
      </c>
      <c r="M12" s="5" t="s">
        <v>141</v>
      </c>
      <c r="N12" s="5" t="n">
        <v>0</v>
      </c>
      <c r="O12" s="5" t="n">
        <v>1</v>
      </c>
      <c r="P12" s="5" t="n">
        <v>2</v>
      </c>
      <c r="Q12" s="5" t="n">
        <v>0</v>
      </c>
      <c r="R12" s="5" t="n">
        <v>0</v>
      </c>
      <c r="S12" s="5" t="n">
        <v>1</v>
      </c>
      <c r="T12" s="5" t="n">
        <v>0</v>
      </c>
      <c r="U12" s="5" t="n">
        <v>0</v>
      </c>
      <c r="V12" s="5" t="n">
        <v>1</v>
      </c>
      <c r="W12" s="5" t="n">
        <f aca="false">IF(ISNUMBER(L12),L12+SUM(N12:V12),"")</f>
        <v>5</v>
      </c>
      <c r="X12" s="5" t="s">
        <v>85</v>
      </c>
      <c r="Y12" s="5"/>
      <c r="Z12" s="5" t="s">
        <v>86</v>
      </c>
      <c r="AA12" s="15" t="s">
        <v>84</v>
      </c>
      <c r="AB12" s="15" t="s">
        <v>142</v>
      </c>
    </row>
    <row r="13" customFormat="false" ht="23.85" hidden="false" customHeight="false" outlineLevel="0" collapsed="false">
      <c r="A13" s="5" t="n">
        <v>12</v>
      </c>
      <c r="B13" s="15" t="s">
        <v>126</v>
      </c>
      <c r="C13" s="15" t="s">
        <v>143</v>
      </c>
      <c r="D13" s="5" t="n">
        <v>6.75</v>
      </c>
      <c r="E13" s="5" t="str">
        <f aca="false">IF(D13="","not stated",IF(D13&lt;6,"&lt;6",IF(D13&lt;8,"6-7",IF(D13&lt;11,"8-10","11+"))))</f>
        <v>6-7</v>
      </c>
      <c r="F13" s="15" t="s">
        <v>112</v>
      </c>
      <c r="G13" s="5" t="s">
        <v>144</v>
      </c>
      <c r="H13" s="5" t="str">
        <f aca="false">IF(LEFT(G13,4)="2026","2026","2024-25")</f>
        <v>2026</v>
      </c>
      <c r="I13" s="5" t="s">
        <v>108</v>
      </c>
      <c r="J13" s="16" t="s">
        <v>145</v>
      </c>
      <c r="K13" s="5" t="str">
        <f aca="false">IF(ISNUMBER(L13),IF(L13&gt;0,"Yes","No"),"Unclear")</f>
        <v>Yes</v>
      </c>
      <c r="L13" s="5" t="n">
        <v>1</v>
      </c>
      <c r="M13" s="5" t="s">
        <v>124</v>
      </c>
      <c r="N13" s="5" t="n">
        <v>1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1</v>
      </c>
      <c r="W13" s="5" t="n">
        <f aca="false">IF(ISNUMBER(L13),L13+SUM(N13:V13),"")</f>
        <v>5</v>
      </c>
      <c r="X13" s="5" t="s">
        <v>85</v>
      </c>
      <c r="Y13" s="5"/>
      <c r="Z13" s="5" t="s">
        <v>86</v>
      </c>
      <c r="AA13" s="15" t="s">
        <v>146</v>
      </c>
      <c r="AB13" s="15"/>
    </row>
    <row r="14" customFormat="false" ht="15" hidden="false" customHeight="false" outlineLevel="0" collapsed="false">
      <c r="A14" s="5" t="n">
        <v>13</v>
      </c>
      <c r="B14" s="15" t="s">
        <v>147</v>
      </c>
      <c r="C14" s="15" t="s">
        <v>148</v>
      </c>
      <c r="D14" s="5" t="n">
        <v>3.7</v>
      </c>
      <c r="E14" s="5" t="str">
        <f aca="false">IF(D14="","not stated",IF(D14&lt;6,"&lt;6",IF(D14&lt;8,"6-7",IF(D14&lt;11,"8-10","11+"))))</f>
        <v>&lt;6</v>
      </c>
      <c r="F14" s="15" t="s">
        <v>149</v>
      </c>
      <c r="G14" s="5" t="s">
        <v>144</v>
      </c>
      <c r="H14" s="5" t="str">
        <f aca="false">IF(LEFT(G14,4)="2026","2026","2024-25")</f>
        <v>2026</v>
      </c>
      <c r="I14" s="5" t="s">
        <v>108</v>
      </c>
      <c r="J14" s="16" t="s">
        <v>150</v>
      </c>
      <c r="K14" s="5" t="str">
        <f aca="false">IF(ISNUMBER(L14),IF(L14&gt;0,"Yes","No"),"Unclear")</f>
        <v>Yes</v>
      </c>
      <c r="L14" s="5" t="n">
        <v>3</v>
      </c>
      <c r="M14" s="5" t="s">
        <v>97</v>
      </c>
      <c r="N14" s="5" t="n">
        <v>0</v>
      </c>
      <c r="O14" s="5" t="n">
        <v>1</v>
      </c>
      <c r="P14" s="5" t="n">
        <v>1</v>
      </c>
      <c r="Q14" s="5" t="n">
        <v>0</v>
      </c>
      <c r="R14" s="5" t="n">
        <v>0</v>
      </c>
      <c r="S14" s="5" t="n">
        <v>1</v>
      </c>
      <c r="T14" s="5" t="n">
        <v>0</v>
      </c>
      <c r="U14" s="5" t="n">
        <v>1</v>
      </c>
      <c r="V14" s="5" t="n">
        <v>0</v>
      </c>
      <c r="W14" s="5" t="n">
        <f aca="false">IF(ISNUMBER(L14),L14+SUM(N14:V14),"")</f>
        <v>7</v>
      </c>
      <c r="X14" s="5" t="s">
        <v>85</v>
      </c>
      <c r="Y14" s="5"/>
      <c r="Z14" s="5" t="s">
        <v>86</v>
      </c>
      <c r="AA14" s="15" t="s">
        <v>146</v>
      </c>
      <c r="AB14" s="15"/>
    </row>
    <row r="15" customFormat="false" ht="15" hidden="false" customHeight="false" outlineLevel="0" collapsed="false">
      <c r="A15" s="5" t="n">
        <v>14</v>
      </c>
      <c r="B15" s="15" t="s">
        <v>151</v>
      </c>
      <c r="C15" s="15" t="s">
        <v>152</v>
      </c>
      <c r="D15" s="5"/>
      <c r="E15" s="5" t="str">
        <f aca="false">IF(D15="","not stated",IF(D15&lt;6,"&lt;6",IF(D15&lt;8,"6-7",IF(D15&lt;11,"8-10","11+"))))</f>
        <v>not stated</v>
      </c>
      <c r="F15" s="15" t="s">
        <v>153</v>
      </c>
      <c r="G15" s="5" t="s">
        <v>144</v>
      </c>
      <c r="H15" s="5" t="str">
        <f aca="false">IF(LEFT(G15,4)="2026","2026","2024-25")</f>
        <v>2026</v>
      </c>
      <c r="I15" s="5" t="s">
        <v>108</v>
      </c>
      <c r="J15" s="16" t="s">
        <v>154</v>
      </c>
      <c r="K15" s="5" t="str">
        <f aca="false">IF(ISNUMBER(L15),IF(L15&gt;0,"Yes","No"),"Unclear")</f>
        <v>Yes</v>
      </c>
      <c r="L15" s="5" t="n">
        <v>2</v>
      </c>
      <c r="M15" s="5" t="s">
        <v>97</v>
      </c>
      <c r="N15" s="5" t="n">
        <v>1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1</v>
      </c>
      <c r="W15" s="5" t="n">
        <f aca="false">IF(ISNUMBER(L15),L15+SUM(N15:V15),"")</f>
        <v>6</v>
      </c>
      <c r="X15" s="5" t="s">
        <v>85</v>
      </c>
      <c r="Y15" s="5"/>
      <c r="Z15" s="5" t="s">
        <v>86</v>
      </c>
      <c r="AA15" s="15" t="s">
        <v>84</v>
      </c>
      <c r="AB15" s="15"/>
    </row>
    <row r="16" customFormat="false" ht="15" hidden="false" customHeight="false" outlineLevel="0" collapsed="false">
      <c r="A16" s="5" t="n">
        <v>15</v>
      </c>
      <c r="B16" s="15" t="s">
        <v>104</v>
      </c>
      <c r="C16" s="15" t="s">
        <v>84</v>
      </c>
      <c r="D16" s="5" t="n">
        <v>7</v>
      </c>
      <c r="E16" s="5" t="str">
        <f aca="false">IF(D16="","not stated",IF(D16&lt;6,"&lt;6",IF(D16&lt;8,"6-7",IF(D16&lt;11,"8-10","11+"))))</f>
        <v>6-7</v>
      </c>
      <c r="F16" s="15" t="s">
        <v>155</v>
      </c>
      <c r="G16" s="5" t="s">
        <v>156</v>
      </c>
      <c r="H16" s="5" t="str">
        <f aca="false">IF(LEFT(G16,4)="2026","2026","2024-25")</f>
        <v>2026</v>
      </c>
      <c r="I16" s="5" t="s">
        <v>108</v>
      </c>
      <c r="J16" s="16" t="s">
        <v>157</v>
      </c>
      <c r="K16" s="5" t="str">
        <f aca="false">IF(ISNUMBER(L16),IF(L16&gt;0,"Yes","No"),"Unclear")</f>
        <v>Yes</v>
      </c>
      <c r="L16" s="5" t="n">
        <v>1</v>
      </c>
      <c r="M16" s="5" t="s">
        <v>97</v>
      </c>
      <c r="N16" s="5" t="n">
        <v>0</v>
      </c>
      <c r="O16" s="5" t="n">
        <v>1</v>
      </c>
      <c r="P16" s="5" t="n">
        <v>3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1</v>
      </c>
      <c r="V16" s="5" t="n">
        <v>0</v>
      </c>
      <c r="W16" s="5" t="n">
        <f aca="false">IF(ISNUMBER(L16),L16+SUM(N16:V16),"")</f>
        <v>6</v>
      </c>
      <c r="X16" s="5" t="s">
        <v>85</v>
      </c>
      <c r="Y16" s="5" t="s">
        <v>158</v>
      </c>
      <c r="Z16" s="5" t="s">
        <v>86</v>
      </c>
      <c r="AA16" s="15" t="s">
        <v>84</v>
      </c>
      <c r="AB16" s="15" t="s">
        <v>159</v>
      </c>
    </row>
    <row r="17" customFormat="false" ht="23.85" hidden="false" customHeight="false" outlineLevel="0" collapsed="false">
      <c r="A17" s="5" t="n">
        <v>16</v>
      </c>
      <c r="B17" s="15" t="s">
        <v>104</v>
      </c>
      <c r="C17" s="15" t="s">
        <v>160</v>
      </c>
      <c r="D17" s="5" t="n">
        <v>8</v>
      </c>
      <c r="E17" s="5" t="str">
        <f aca="false">IF(D17="","not stated",IF(D17&lt;6,"&lt;6",IF(D17&lt;8,"6-7",IF(D17&lt;11,"8-10","11+"))))</f>
        <v>8-10</v>
      </c>
      <c r="F17" s="15" t="s">
        <v>161</v>
      </c>
      <c r="G17" s="5" t="s">
        <v>156</v>
      </c>
      <c r="H17" s="5" t="str">
        <f aca="false">IF(LEFT(G17,4)="2026","2026","2024-25")</f>
        <v>2026</v>
      </c>
      <c r="I17" s="5" t="s">
        <v>108</v>
      </c>
      <c r="J17" s="16" t="s">
        <v>162</v>
      </c>
      <c r="K17" s="5" t="str">
        <f aca="false">IF(ISNUMBER(L17),IF(L17&gt;0,"Yes","No"),"Unclear")</f>
        <v>Yes</v>
      </c>
      <c r="L17" s="5" t="n">
        <v>2</v>
      </c>
      <c r="M17" s="5" t="s">
        <v>124</v>
      </c>
      <c r="N17" s="5" t="n">
        <v>0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f aca="false">IF(ISNUMBER(L17),L17+SUM(N17:V17),"")</f>
        <v>5</v>
      </c>
      <c r="X17" s="5" t="s">
        <v>85</v>
      </c>
      <c r="Y17" s="5" t="s">
        <v>163</v>
      </c>
      <c r="Z17" s="5" t="s">
        <v>86</v>
      </c>
      <c r="AA17" s="15" t="s">
        <v>164</v>
      </c>
      <c r="AB17" s="15"/>
    </row>
    <row r="18" customFormat="false" ht="23.85" hidden="false" customHeight="false" outlineLevel="0" collapsed="false">
      <c r="A18" s="5" t="n">
        <v>17</v>
      </c>
      <c r="B18" s="15" t="s">
        <v>104</v>
      </c>
      <c r="C18" s="15" t="s">
        <v>165</v>
      </c>
      <c r="D18" s="5" t="n">
        <v>8</v>
      </c>
      <c r="E18" s="5" t="str">
        <f aca="false">IF(D18="","not stated",IF(D18&lt;6,"&lt;6",IF(D18&lt;8,"6-7",IF(D18&lt;11,"8-10","11+"))))</f>
        <v>8-10</v>
      </c>
      <c r="F18" s="15" t="s">
        <v>161</v>
      </c>
      <c r="G18" s="5" t="s">
        <v>156</v>
      </c>
      <c r="H18" s="5" t="str">
        <f aca="false">IF(LEFT(G18,4)="2026","2026","2024-25")</f>
        <v>2026</v>
      </c>
      <c r="I18" s="5" t="s">
        <v>108</v>
      </c>
      <c r="J18" s="16" t="s">
        <v>166</v>
      </c>
      <c r="K18" s="5" t="str">
        <f aca="false">IF(ISNUMBER(L18),IF(L18&gt;0,"Yes","No"),"Unclear")</f>
        <v>Yes</v>
      </c>
      <c r="L18" s="5" t="n">
        <v>1</v>
      </c>
      <c r="M18" s="5" t="s">
        <v>97</v>
      </c>
      <c r="N18" s="5" t="n">
        <v>0</v>
      </c>
      <c r="O18" s="5" t="n">
        <v>1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  <c r="U18" s="5" t="n">
        <v>0</v>
      </c>
      <c r="V18" s="5" t="n">
        <v>1</v>
      </c>
      <c r="W18" s="5" t="n">
        <f aca="false">IF(ISNUMBER(L18),L18+SUM(N18:V18),"")</f>
        <v>5</v>
      </c>
      <c r="X18" s="5" t="s">
        <v>85</v>
      </c>
      <c r="Y18" s="5" t="s">
        <v>163</v>
      </c>
      <c r="Z18" s="5" t="s">
        <v>85</v>
      </c>
      <c r="AA18" s="15" t="s">
        <v>98</v>
      </c>
      <c r="AB18" s="15" t="s">
        <v>167</v>
      </c>
    </row>
    <row r="19" customFormat="false" ht="15" hidden="false" customHeight="false" outlineLevel="0" collapsed="false">
      <c r="A19" s="5" t="n">
        <v>18</v>
      </c>
      <c r="B19" s="15" t="s">
        <v>168</v>
      </c>
      <c r="C19" s="15" t="s">
        <v>84</v>
      </c>
      <c r="D19" s="5" t="n">
        <v>8</v>
      </c>
      <c r="E19" s="5" t="str">
        <f aca="false">IF(D19="","not stated",IF(D19&lt;6,"&lt;6",IF(D19&lt;8,"6-7",IF(D19&lt;11,"8-10","11+"))))</f>
        <v>8-10</v>
      </c>
      <c r="F19" s="15" t="s">
        <v>155</v>
      </c>
      <c r="G19" s="5" t="s">
        <v>156</v>
      </c>
      <c r="H19" s="5" t="str">
        <f aca="false">IF(LEFT(G19,4)="2026","2026","2024-25")</f>
        <v>2026</v>
      </c>
      <c r="I19" s="5" t="s">
        <v>108</v>
      </c>
      <c r="J19" s="16" t="s">
        <v>169</v>
      </c>
      <c r="K19" s="5" t="str">
        <f aca="false">IF(ISNUMBER(L19),IF(L19&gt;0,"Yes","No"),"Unclear")</f>
        <v>Yes</v>
      </c>
      <c r="L19" s="5" t="n">
        <v>1</v>
      </c>
      <c r="M19" s="5" t="s">
        <v>130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f aca="false">IF(ISNUMBER(L19),L19+SUM(N19:V19),"")</f>
        <v>2</v>
      </c>
      <c r="X19" s="5" t="s">
        <v>86</v>
      </c>
      <c r="Y19" s="5" t="s">
        <v>163</v>
      </c>
      <c r="Z19" s="5" t="s">
        <v>86</v>
      </c>
      <c r="AA19" s="15" t="s">
        <v>170</v>
      </c>
      <c r="AB19" s="15"/>
    </row>
    <row r="20" customFormat="false" ht="15" hidden="false" customHeight="false" outlineLevel="0" collapsed="false">
      <c r="A20" s="5" t="n">
        <v>19</v>
      </c>
      <c r="B20" s="15" t="s">
        <v>171</v>
      </c>
      <c r="C20" s="15" t="s">
        <v>84</v>
      </c>
      <c r="D20" s="5" t="n">
        <v>7</v>
      </c>
      <c r="E20" s="5" t="str">
        <f aca="false">IF(D20="","not stated",IF(D20&lt;6,"&lt;6",IF(D20&lt;8,"6-7",IF(D20&lt;11,"8-10","11+"))))</f>
        <v>6-7</v>
      </c>
      <c r="F20" s="15" t="s">
        <v>155</v>
      </c>
      <c r="G20" s="5" t="s">
        <v>156</v>
      </c>
      <c r="H20" s="5" t="str">
        <f aca="false">IF(LEFT(G20,4)="2026","2026","2024-25")</f>
        <v>2026</v>
      </c>
      <c r="I20" s="5" t="s">
        <v>108</v>
      </c>
      <c r="J20" s="16" t="s">
        <v>172</v>
      </c>
      <c r="K20" s="5" t="str">
        <f aca="false">IF(ISNUMBER(L20),IF(L20&gt;0,"Yes","No"),"Unclear")</f>
        <v>Yes</v>
      </c>
      <c r="L20" s="5" t="n">
        <v>1</v>
      </c>
      <c r="M20" s="5" t="s">
        <v>97</v>
      </c>
      <c r="N20" s="5" t="n">
        <v>0</v>
      </c>
      <c r="O20" s="5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f aca="false">IF(ISNUMBER(L20),L20+SUM(N20:V20),"")</f>
        <v>2</v>
      </c>
      <c r="X20" s="5" t="s">
        <v>86</v>
      </c>
      <c r="Y20" s="5" t="s">
        <v>158</v>
      </c>
      <c r="Z20" s="5" t="s">
        <v>86</v>
      </c>
      <c r="AA20" s="15" t="s">
        <v>84</v>
      </c>
      <c r="AB20" s="15"/>
    </row>
    <row r="21" customFormat="false" ht="15" hidden="false" customHeight="false" outlineLevel="0" collapsed="false">
      <c r="A21" s="5" t="n">
        <v>20</v>
      </c>
      <c r="B21" s="15" t="s">
        <v>173</v>
      </c>
      <c r="C21" s="15" t="s">
        <v>174</v>
      </c>
      <c r="D21" s="5"/>
      <c r="E21" s="5" t="str">
        <f aca="false">IF(D21="","not stated",IF(D21&lt;6,"&lt;6",IF(D21&lt;8,"6-7",IF(D21&lt;11,"8-10","11+"))))</f>
        <v>not stated</v>
      </c>
      <c r="F21" s="15" t="s">
        <v>153</v>
      </c>
      <c r="G21" s="5" t="s">
        <v>156</v>
      </c>
      <c r="H21" s="5" t="str">
        <f aca="false">IF(LEFT(G21,4)="2026","2026","2024-25")</f>
        <v>2026</v>
      </c>
      <c r="I21" s="5" t="s">
        <v>108</v>
      </c>
      <c r="J21" s="16" t="s">
        <v>175</v>
      </c>
      <c r="K21" s="5" t="str">
        <f aca="false">IF(ISNUMBER(L21),IF(L21&gt;0,"Yes","No"),"Unclear")</f>
        <v>Yes</v>
      </c>
      <c r="L21" s="5" t="n">
        <v>1</v>
      </c>
      <c r="M21" s="5" t="s">
        <v>84</v>
      </c>
      <c r="N21" s="5" t="n">
        <v>1</v>
      </c>
      <c r="O21" s="5" t="n">
        <v>1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f aca="false">IF(ISNUMBER(L21),L21+SUM(N21:V21),"")</f>
        <v>4</v>
      </c>
      <c r="X21" s="5" t="s">
        <v>85</v>
      </c>
      <c r="Y21" s="5"/>
      <c r="Z21" s="5" t="s">
        <v>86</v>
      </c>
      <c r="AA21" s="15" t="s">
        <v>84</v>
      </c>
      <c r="AB21" s="15"/>
    </row>
    <row r="22" customFormat="false" ht="35.05" hidden="false" customHeight="false" outlineLevel="0" collapsed="false">
      <c r="A22" s="5" t="n">
        <v>21</v>
      </c>
      <c r="B22" s="15" t="s">
        <v>94</v>
      </c>
      <c r="C22" s="15" t="s">
        <v>89</v>
      </c>
      <c r="D22" s="5" t="n">
        <v>7</v>
      </c>
      <c r="E22" s="5" t="str">
        <f aca="false">IF(D22="","not stated",IF(D22&lt;6,"&lt;6",IF(D22&lt;8,"6-7",IF(D22&lt;11,"8-10","11+"))))</f>
        <v>6-7</v>
      </c>
      <c r="F22" s="15" t="s">
        <v>176</v>
      </c>
      <c r="G22" s="5" t="s">
        <v>156</v>
      </c>
      <c r="H22" s="5" t="str">
        <f aca="false">IF(LEFT(G22,4)="2026","2026","2024-25")</f>
        <v>2026</v>
      </c>
      <c r="I22" s="5" t="s">
        <v>108</v>
      </c>
      <c r="J22" s="16" t="s">
        <v>177</v>
      </c>
      <c r="K22" s="5" t="str">
        <f aca="false">IF(ISNUMBER(L22),IF(L22&gt;0,"Yes","No"),"Unclear")</f>
        <v>Yes</v>
      </c>
      <c r="L22" s="5" t="n">
        <v>3</v>
      </c>
      <c r="M22" s="5" t="s">
        <v>124</v>
      </c>
      <c r="N22" s="5" t="n">
        <v>0</v>
      </c>
      <c r="O22" s="5" t="n">
        <v>2</v>
      </c>
      <c r="P22" s="5" t="n">
        <v>3</v>
      </c>
      <c r="Q22" s="5" t="n">
        <v>0</v>
      </c>
      <c r="R22" s="5" t="n">
        <v>0</v>
      </c>
      <c r="S22" s="5" t="n">
        <v>1</v>
      </c>
      <c r="T22" s="5" t="n">
        <v>0</v>
      </c>
      <c r="U22" s="5" t="n">
        <v>1</v>
      </c>
      <c r="V22" s="5" t="n">
        <v>1</v>
      </c>
      <c r="W22" s="5" t="n">
        <f aca="false">IF(ISNUMBER(L22),L22+SUM(N22:V22),"")</f>
        <v>11</v>
      </c>
      <c r="X22" s="5" t="s">
        <v>85</v>
      </c>
      <c r="Y22" s="5" t="s">
        <v>158</v>
      </c>
      <c r="Z22" s="5" t="s">
        <v>86</v>
      </c>
      <c r="AA22" s="15" t="s">
        <v>84</v>
      </c>
      <c r="AB22" s="15"/>
    </row>
    <row r="23" customFormat="false" ht="15" hidden="false" customHeight="false" outlineLevel="0" collapsed="false">
      <c r="A23" s="5" t="n">
        <v>22</v>
      </c>
      <c r="B23" s="15" t="s">
        <v>94</v>
      </c>
      <c r="C23" s="15" t="s">
        <v>178</v>
      </c>
      <c r="D23" s="5" t="n">
        <v>7</v>
      </c>
      <c r="E23" s="5" t="str">
        <f aca="false">IF(D23="","not stated",IF(D23&lt;6,"&lt;6",IF(D23&lt;8,"6-7",IF(D23&lt;11,"8-10","11+"))))</f>
        <v>6-7</v>
      </c>
      <c r="F23" s="15" t="s">
        <v>155</v>
      </c>
      <c r="G23" s="5" t="s">
        <v>156</v>
      </c>
      <c r="H23" s="5" t="str">
        <f aca="false">IF(LEFT(G23,4)="2026","2026","2024-25")</f>
        <v>2026</v>
      </c>
      <c r="I23" s="5" t="s">
        <v>108</v>
      </c>
      <c r="J23" s="16" t="s">
        <v>179</v>
      </c>
      <c r="K23" s="5" t="str">
        <f aca="false">IF(ISNUMBER(L23),IF(L23&gt;0,"Yes","No"),"Unclear")</f>
        <v>Yes</v>
      </c>
      <c r="L23" s="5" t="n">
        <v>1</v>
      </c>
      <c r="M23" s="5" t="s">
        <v>97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f aca="false">IF(ISNUMBER(L23),L23+SUM(N23:V23),"")</f>
        <v>2</v>
      </c>
      <c r="X23" s="5" t="s">
        <v>86</v>
      </c>
      <c r="Y23" s="5" t="s">
        <v>158</v>
      </c>
      <c r="Z23" s="5" t="s">
        <v>85</v>
      </c>
      <c r="AA23" s="15" t="s">
        <v>115</v>
      </c>
      <c r="AB23" s="15"/>
    </row>
    <row r="24" customFormat="false" ht="15" hidden="false" customHeight="false" outlineLevel="0" collapsed="false">
      <c r="A24" s="5" t="n">
        <v>23</v>
      </c>
      <c r="B24" s="15" t="s">
        <v>180</v>
      </c>
      <c r="C24" s="15" t="s">
        <v>181</v>
      </c>
      <c r="D24" s="5" t="n">
        <v>7</v>
      </c>
      <c r="E24" s="5" t="str">
        <f aca="false">IF(D24="","not stated",IF(D24&lt;6,"&lt;6",IF(D24&lt;8,"6-7",IF(D24&lt;11,"8-10","11+"))))</f>
        <v>6-7</v>
      </c>
      <c r="F24" s="15" t="s">
        <v>155</v>
      </c>
      <c r="G24" s="5" t="s">
        <v>156</v>
      </c>
      <c r="H24" s="5" t="str">
        <f aca="false">IF(LEFT(G24,4)="2026","2026","2024-25")</f>
        <v>2026</v>
      </c>
      <c r="I24" s="5" t="s">
        <v>108</v>
      </c>
      <c r="J24" s="16" t="s">
        <v>182</v>
      </c>
      <c r="K24" s="5" t="str">
        <f aca="false">IF(ISNUMBER(L24),IF(L24&gt;0,"Yes","No"),"Unclear")</f>
        <v>Yes</v>
      </c>
      <c r="L24" s="5" t="n">
        <v>2</v>
      </c>
      <c r="M24" s="5" t="s">
        <v>124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1</v>
      </c>
      <c r="S24" s="5" t="n">
        <v>1</v>
      </c>
      <c r="T24" s="5" t="n">
        <v>0</v>
      </c>
      <c r="U24" s="5" t="n">
        <v>0</v>
      </c>
      <c r="V24" s="5" t="n">
        <v>2</v>
      </c>
      <c r="W24" s="5" t="n">
        <f aca="false">IF(ISNUMBER(L24),L24+SUM(N24:V24),"")</f>
        <v>7</v>
      </c>
      <c r="X24" s="5" t="s">
        <v>85</v>
      </c>
      <c r="Y24" s="5" t="s">
        <v>158</v>
      </c>
      <c r="Z24" s="5" t="s">
        <v>86</v>
      </c>
      <c r="AA24" s="15" t="s">
        <v>115</v>
      </c>
      <c r="AB24" s="15" t="s">
        <v>183</v>
      </c>
    </row>
    <row r="25" customFormat="false" ht="15" hidden="false" customHeight="false" outlineLevel="0" collapsed="false">
      <c r="A25" s="5" t="n">
        <v>24</v>
      </c>
      <c r="B25" s="15" t="s">
        <v>180</v>
      </c>
      <c r="C25" s="15" t="s">
        <v>184</v>
      </c>
      <c r="D25" s="5" t="n">
        <v>8</v>
      </c>
      <c r="E25" s="5" t="str">
        <f aca="false">IF(D25="","not stated",IF(D25&lt;6,"&lt;6",IF(D25&lt;8,"6-7",IF(D25&lt;11,"8-10","11+"))))</f>
        <v>8-10</v>
      </c>
      <c r="F25" s="15" t="s">
        <v>155</v>
      </c>
      <c r="G25" s="5" t="s">
        <v>156</v>
      </c>
      <c r="H25" s="5" t="str">
        <f aca="false">IF(LEFT(G25,4)="2026","2026","2024-25")</f>
        <v>2026</v>
      </c>
      <c r="I25" s="5" t="s">
        <v>108</v>
      </c>
      <c r="J25" s="16" t="s">
        <v>185</v>
      </c>
      <c r="K25" s="5" t="str">
        <f aca="false">IF(ISNUMBER(L25),IF(L25&gt;0,"Yes","No"),"Unclear")</f>
        <v>No</v>
      </c>
      <c r="L25" s="5" t="n">
        <v>0</v>
      </c>
      <c r="M25" s="5" t="s">
        <v>141</v>
      </c>
      <c r="N25" s="5" t="n">
        <v>0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2</v>
      </c>
      <c r="W25" s="5" t="n">
        <f aca="false">IF(ISNUMBER(L25),L25+SUM(N25:V25),"")</f>
        <v>5</v>
      </c>
      <c r="X25" s="5" t="s">
        <v>85</v>
      </c>
      <c r="Y25" s="5" t="s">
        <v>163</v>
      </c>
      <c r="Z25" s="5" t="s">
        <v>86</v>
      </c>
      <c r="AA25" s="15" t="s">
        <v>186</v>
      </c>
      <c r="AB25" s="15"/>
    </row>
    <row r="26" customFormat="false" ht="15" hidden="false" customHeight="false" outlineLevel="0" collapsed="false">
      <c r="A26" s="5" t="n">
        <v>25</v>
      </c>
      <c r="B26" s="15" t="s">
        <v>187</v>
      </c>
      <c r="C26" s="15" t="s">
        <v>84</v>
      </c>
      <c r="D26" s="5" t="n">
        <v>7</v>
      </c>
      <c r="E26" s="5" t="str">
        <f aca="false">IF(D26="","not stated",IF(D26&lt;6,"&lt;6",IF(D26&lt;8,"6-7",IF(D26&lt;11,"8-10","11+"))))</f>
        <v>6-7</v>
      </c>
      <c r="F26" s="15" t="s">
        <v>155</v>
      </c>
      <c r="G26" s="5" t="s">
        <v>156</v>
      </c>
      <c r="H26" s="5" t="str">
        <f aca="false">IF(LEFT(G26,4)="2026","2026","2024-25")</f>
        <v>2026</v>
      </c>
      <c r="I26" s="5" t="s">
        <v>108</v>
      </c>
      <c r="J26" s="16" t="s">
        <v>188</v>
      </c>
      <c r="K26" s="5" t="str">
        <f aca="false">IF(ISNUMBER(L26),IF(L26&gt;0,"Yes","No"),"Unclear")</f>
        <v>Yes</v>
      </c>
      <c r="L26" s="5" t="n">
        <v>1</v>
      </c>
      <c r="M26" s="5" t="s">
        <v>97</v>
      </c>
      <c r="N26" s="5" t="n">
        <v>0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1</v>
      </c>
      <c r="T26" s="5" t="n">
        <v>0</v>
      </c>
      <c r="U26" s="5" t="n">
        <v>1</v>
      </c>
      <c r="V26" s="5" t="n">
        <v>2</v>
      </c>
      <c r="W26" s="5" t="n">
        <f aca="false">IF(ISNUMBER(L26),L26+SUM(N26:V26),"")</f>
        <v>6</v>
      </c>
      <c r="X26" s="5" t="s">
        <v>85</v>
      </c>
      <c r="Y26" s="5" t="s">
        <v>158</v>
      </c>
      <c r="Z26" s="5" t="s">
        <v>86</v>
      </c>
      <c r="AA26" s="15" t="s">
        <v>84</v>
      </c>
      <c r="AB26" s="15"/>
    </row>
    <row r="27" customFormat="false" ht="23.85" hidden="false" customHeight="false" outlineLevel="0" collapsed="false">
      <c r="A27" s="5" t="n">
        <v>26</v>
      </c>
      <c r="B27" s="15" t="s">
        <v>189</v>
      </c>
      <c r="C27" s="15" t="s">
        <v>78</v>
      </c>
      <c r="D27" s="5"/>
      <c r="E27" s="5" t="str">
        <f aca="false">IF(D27="","not stated",IF(D27&lt;6,"&lt;6",IF(D27&lt;8,"6-7",IF(D27&lt;11,"8-10","11+"))))</f>
        <v>not stated</v>
      </c>
      <c r="F27" s="15" t="s">
        <v>190</v>
      </c>
      <c r="G27" s="5" t="s">
        <v>156</v>
      </c>
      <c r="H27" s="5" t="str">
        <f aca="false">IF(LEFT(G27,4)="2026","2026","2024-25")</f>
        <v>2026</v>
      </c>
      <c r="I27" s="5" t="s">
        <v>81</v>
      </c>
      <c r="J27" s="16" t="s">
        <v>191</v>
      </c>
      <c r="K27" s="5" t="str">
        <f aca="false">IF(ISNUMBER(L27),IF(L27&gt;0,"Yes","No"),"Unclear")</f>
        <v>Yes</v>
      </c>
      <c r="L27" s="5" t="n">
        <v>2</v>
      </c>
      <c r="M27" s="5" t="s">
        <v>84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f aca="false">IF(ISNUMBER(L27),L27+SUM(N27:V27),"")</f>
        <v>3</v>
      </c>
      <c r="X27" s="5" t="s">
        <v>85</v>
      </c>
      <c r="Y27" s="5"/>
      <c r="Z27" s="5" t="s">
        <v>86</v>
      </c>
      <c r="AA27" s="15" t="s">
        <v>98</v>
      </c>
      <c r="AB27" s="15" t="s">
        <v>192</v>
      </c>
    </row>
    <row r="28" customFormat="false" ht="15" hidden="false" customHeight="false" outlineLevel="0" collapsed="false">
      <c r="A28" s="5" t="n">
        <v>27</v>
      </c>
      <c r="B28" s="15" t="s">
        <v>193</v>
      </c>
      <c r="C28" s="15" t="s">
        <v>84</v>
      </c>
      <c r="D28" s="5" t="n">
        <v>7</v>
      </c>
      <c r="E28" s="5" t="str">
        <f aca="false">IF(D28="","not stated",IF(D28&lt;6,"&lt;6",IF(D28&lt;8,"6-7",IF(D28&lt;11,"8-10","11+"))))</f>
        <v>6-7</v>
      </c>
      <c r="F28" s="15" t="s">
        <v>155</v>
      </c>
      <c r="G28" s="5" t="s">
        <v>156</v>
      </c>
      <c r="H28" s="5" t="str">
        <f aca="false">IF(LEFT(G28,4)="2026","2026","2024-25")</f>
        <v>2026</v>
      </c>
      <c r="I28" s="5" t="s">
        <v>108</v>
      </c>
      <c r="J28" s="16" t="s">
        <v>194</v>
      </c>
      <c r="K28" s="5" t="str">
        <f aca="false">IF(ISNUMBER(L28),IF(L28&gt;0,"Yes","No"),"Unclear")</f>
        <v>Yes</v>
      </c>
      <c r="L28" s="5" t="n">
        <v>1</v>
      </c>
      <c r="M28" s="5" t="s">
        <v>97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f aca="false">IF(ISNUMBER(L28),L28+SUM(N28:V28),"")</f>
        <v>3</v>
      </c>
      <c r="X28" s="5" t="s">
        <v>85</v>
      </c>
      <c r="Y28" s="5" t="s">
        <v>158</v>
      </c>
      <c r="Z28" s="5" t="s">
        <v>86</v>
      </c>
      <c r="AA28" s="15" t="s">
        <v>84</v>
      </c>
      <c r="AB28" s="15"/>
    </row>
    <row r="29" customFormat="false" ht="23.85" hidden="false" customHeight="false" outlineLevel="0" collapsed="false">
      <c r="A29" s="5" t="n">
        <v>28</v>
      </c>
      <c r="B29" s="15" t="s">
        <v>195</v>
      </c>
      <c r="C29" s="15" t="s">
        <v>84</v>
      </c>
      <c r="D29" s="5" t="n">
        <v>8.5</v>
      </c>
      <c r="E29" s="5" t="str">
        <f aca="false">IF(D29="","not stated",IF(D29&lt;6,"&lt;6",IF(D29&lt;8,"6-7",IF(D29&lt;11,"8-10","11+"))))</f>
        <v>8-10</v>
      </c>
      <c r="F29" s="15" t="s">
        <v>153</v>
      </c>
      <c r="G29" s="5" t="s">
        <v>196</v>
      </c>
      <c r="H29" s="5" t="str">
        <f aca="false">IF(LEFT(G29,4)="2026","2026","2024-25")</f>
        <v>2024-25</v>
      </c>
      <c r="I29" s="5" t="s">
        <v>108</v>
      </c>
      <c r="J29" s="16" t="s">
        <v>197</v>
      </c>
      <c r="K29" s="5" t="str">
        <f aca="false">IF(ISNUMBER(L29),IF(L29&gt;0,"Yes","No"),"Unclear")</f>
        <v>Yes</v>
      </c>
      <c r="L29" s="5" t="n">
        <v>2</v>
      </c>
      <c r="M29" s="5" t="s">
        <v>84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f aca="false">IF(ISNUMBER(L29),L29+SUM(N29:V29),"")</f>
        <v>3</v>
      </c>
      <c r="X29" s="5" t="s">
        <v>86</v>
      </c>
      <c r="Y29" s="5" t="s">
        <v>198</v>
      </c>
      <c r="Z29" s="5" t="s">
        <v>86</v>
      </c>
      <c r="AA29" s="15" t="s">
        <v>199</v>
      </c>
      <c r="AB29" s="15"/>
    </row>
    <row r="30" customFormat="false" ht="15" hidden="false" customHeight="false" outlineLevel="0" collapsed="false">
      <c r="A30" s="5" t="n">
        <v>29</v>
      </c>
      <c r="B30" s="15" t="s">
        <v>94</v>
      </c>
      <c r="C30" s="15" t="s">
        <v>200</v>
      </c>
      <c r="D30" s="5" t="n">
        <v>8</v>
      </c>
      <c r="E30" s="5" t="str">
        <f aca="false">IF(D30="","not stated",IF(D30&lt;6,"&lt;6",IF(D30&lt;8,"6-7",IF(D30&lt;11,"8-10","11+"))))</f>
        <v>8-10</v>
      </c>
      <c r="F30" s="15" t="s">
        <v>161</v>
      </c>
      <c r="G30" s="5" t="s">
        <v>201</v>
      </c>
      <c r="H30" s="5" t="str">
        <f aca="false">IF(LEFT(G30,4)="2026","2026","2024-25")</f>
        <v>2024-25</v>
      </c>
      <c r="I30" s="5" t="s">
        <v>108</v>
      </c>
      <c r="J30" s="16" t="s">
        <v>202</v>
      </c>
      <c r="K30" s="5" t="str">
        <f aca="false">IF(ISNUMBER(L30),IF(L30&gt;0,"Yes","No"),"Unclear")</f>
        <v>Yes</v>
      </c>
      <c r="L30" s="5" t="n">
        <v>2</v>
      </c>
      <c r="M30" s="5" t="s">
        <v>97</v>
      </c>
      <c r="N30" s="5" t="n">
        <v>0</v>
      </c>
      <c r="O30" s="5" t="n">
        <v>1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1</v>
      </c>
      <c r="W30" s="5" t="n">
        <f aca="false">IF(ISNUMBER(L30),L30+SUM(N30:V30),"")</f>
        <v>5</v>
      </c>
      <c r="X30" s="5" t="s">
        <v>85</v>
      </c>
      <c r="Y30" s="5"/>
      <c r="Z30" s="5" t="s">
        <v>86</v>
      </c>
      <c r="AA30" s="15" t="s">
        <v>110</v>
      </c>
      <c r="AB30" s="15"/>
    </row>
    <row r="31" customFormat="false" ht="35.05" hidden="false" customHeight="false" outlineLevel="0" collapsed="false">
      <c r="A31" s="5" t="n">
        <v>30</v>
      </c>
      <c r="B31" s="15" t="s">
        <v>203</v>
      </c>
      <c r="C31" s="15" t="s">
        <v>89</v>
      </c>
      <c r="D31" s="5" t="n">
        <v>5.25</v>
      </c>
      <c r="E31" s="5" t="str">
        <f aca="false">IF(D31="","not stated",IF(D31&lt;6,"&lt;6",IF(D31&lt;8,"6-7",IF(D31&lt;11,"8-10","11+"))))</f>
        <v>&lt;6</v>
      </c>
      <c r="F31" s="15" t="s">
        <v>112</v>
      </c>
      <c r="G31" s="5" t="s">
        <v>201</v>
      </c>
      <c r="H31" s="5" t="str">
        <f aca="false">IF(LEFT(G31,4)="2026","2026","2024-25")</f>
        <v>2024-25</v>
      </c>
      <c r="I31" s="5" t="s">
        <v>108</v>
      </c>
      <c r="J31" s="16" t="s">
        <v>204</v>
      </c>
      <c r="K31" s="5" t="str">
        <f aca="false">IF(ISNUMBER(L31),IF(L31&gt;0,"Yes","No"),"Unclear")</f>
        <v>Yes</v>
      </c>
      <c r="L31" s="5" t="n">
        <v>1</v>
      </c>
      <c r="M31" s="5" t="s">
        <v>205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1</v>
      </c>
      <c r="S31" s="5" t="n">
        <v>1</v>
      </c>
      <c r="T31" s="5" t="n">
        <v>0</v>
      </c>
      <c r="U31" s="5" t="n">
        <v>1</v>
      </c>
      <c r="V31" s="5" t="n">
        <v>1</v>
      </c>
      <c r="W31" s="5" t="n">
        <f aca="false">IF(ISNUMBER(L31),L31+SUM(N31:V31),"")</f>
        <v>6</v>
      </c>
      <c r="X31" s="5" t="s">
        <v>85</v>
      </c>
      <c r="Y31" s="5"/>
      <c r="Z31" s="5" t="s">
        <v>86</v>
      </c>
      <c r="AA31" s="15" t="s">
        <v>98</v>
      </c>
      <c r="AB31" s="15" t="s">
        <v>206</v>
      </c>
    </row>
    <row r="32" customFormat="false" ht="23.85" hidden="false" customHeight="false" outlineLevel="0" collapsed="false">
      <c r="A32" s="5" t="n">
        <v>31</v>
      </c>
      <c r="B32" s="15" t="s">
        <v>207</v>
      </c>
      <c r="C32" s="15" t="s">
        <v>84</v>
      </c>
      <c r="D32" s="5" t="n">
        <v>8.5</v>
      </c>
      <c r="E32" s="5" t="str">
        <f aca="false">IF(D32="","not stated",IF(D32&lt;6,"&lt;6",IF(D32&lt;8,"6-7",IF(D32&lt;11,"8-10","11+"))))</f>
        <v>8-10</v>
      </c>
      <c r="F32" s="15" t="s">
        <v>153</v>
      </c>
      <c r="G32" s="5" t="s">
        <v>201</v>
      </c>
      <c r="H32" s="5" t="str">
        <f aca="false">IF(LEFT(G32,4)="2026","2026","2024-25")</f>
        <v>2024-25</v>
      </c>
      <c r="I32" s="5" t="s">
        <v>108</v>
      </c>
      <c r="J32" s="16" t="s">
        <v>208</v>
      </c>
      <c r="K32" s="5" t="str">
        <f aca="false">IF(ISNUMBER(L32),IF(L32&gt;0,"Yes","No"),"Unclear")</f>
        <v>Yes</v>
      </c>
      <c r="L32" s="5" t="n">
        <v>1</v>
      </c>
      <c r="M32" s="5" t="s">
        <v>97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f aca="false">IF(ISNUMBER(L32),L32+SUM(N32:V32),"")</f>
        <v>1</v>
      </c>
      <c r="X32" s="5" t="s">
        <v>86</v>
      </c>
      <c r="Y32" s="5" t="s">
        <v>198</v>
      </c>
      <c r="Z32" s="5" t="s">
        <v>86</v>
      </c>
      <c r="AA32" s="15" t="s">
        <v>209</v>
      </c>
      <c r="AB32" s="15"/>
    </row>
    <row r="33" customFormat="false" ht="15" hidden="false" customHeight="false" outlineLevel="0" collapsed="false">
      <c r="A33" s="5" t="n">
        <v>32</v>
      </c>
      <c r="B33" s="15" t="s">
        <v>210</v>
      </c>
      <c r="C33" s="15" t="s">
        <v>89</v>
      </c>
      <c r="D33" s="5" t="n">
        <v>8</v>
      </c>
      <c r="E33" s="5" t="str">
        <f aca="false">IF(D33="","not stated",IF(D33&lt;6,"&lt;6",IF(D33&lt;8,"6-7",IF(D33&lt;11,"8-10","11+"))))</f>
        <v>8-10</v>
      </c>
      <c r="F33" s="15" t="s">
        <v>79</v>
      </c>
      <c r="G33" s="5" t="s">
        <v>201</v>
      </c>
      <c r="H33" s="5" t="str">
        <f aca="false">IF(LEFT(G33,4)="2026","2026","2024-25")</f>
        <v>2024-25</v>
      </c>
      <c r="I33" s="5" t="s">
        <v>108</v>
      </c>
      <c r="J33" s="16" t="s">
        <v>211</v>
      </c>
      <c r="K33" s="5" t="str">
        <f aca="false">IF(ISNUMBER(L33),IF(L33&gt;0,"Yes","No"),"Unclear")</f>
        <v>Yes</v>
      </c>
      <c r="L33" s="5" t="n">
        <v>1</v>
      </c>
      <c r="M33" s="5" t="s">
        <v>124</v>
      </c>
      <c r="N33" s="5" t="n">
        <v>0</v>
      </c>
      <c r="O33" s="5" t="n">
        <v>0</v>
      </c>
      <c r="P33" s="5" t="n">
        <v>1</v>
      </c>
      <c r="Q33" s="5" t="n">
        <v>0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1</v>
      </c>
      <c r="W33" s="5" t="n">
        <f aca="false">IF(ISNUMBER(L33),L33+SUM(N33:V33),"")</f>
        <v>4</v>
      </c>
      <c r="X33" s="5" t="s">
        <v>85</v>
      </c>
      <c r="Y33" s="5"/>
      <c r="Z33" s="5" t="s">
        <v>86</v>
      </c>
      <c r="AA33" s="15" t="s">
        <v>212</v>
      </c>
      <c r="AB33" s="15"/>
    </row>
    <row r="34" customFormat="false" ht="23.85" hidden="false" customHeight="false" outlineLevel="0" collapsed="false">
      <c r="A34" s="5" t="n">
        <v>33</v>
      </c>
      <c r="B34" s="15" t="s">
        <v>213</v>
      </c>
      <c r="C34" s="15" t="s">
        <v>111</v>
      </c>
      <c r="D34" s="5"/>
      <c r="E34" s="5" t="str">
        <f aca="false">IF(D34="","not stated",IF(D34&lt;6,"&lt;6",IF(D34&lt;8,"6-7",IF(D34&lt;11,"8-10","11+"))))</f>
        <v>not stated</v>
      </c>
      <c r="F34" s="15" t="s">
        <v>112</v>
      </c>
      <c r="G34" s="5" t="s">
        <v>214</v>
      </c>
      <c r="H34" s="5" t="str">
        <f aca="false">IF(LEFT(G34,4)="2026","2026","2024-25")</f>
        <v>2024-25</v>
      </c>
      <c r="I34" s="5" t="s">
        <v>108</v>
      </c>
      <c r="J34" s="16" t="s">
        <v>215</v>
      </c>
      <c r="K34" s="5" t="str">
        <f aca="false">IF(ISNUMBER(L34),IF(L34&gt;0,"Yes","No"),"Unclear")</f>
        <v>Yes</v>
      </c>
      <c r="L34" s="5" t="n">
        <v>1</v>
      </c>
      <c r="M34" s="5" t="s">
        <v>124</v>
      </c>
      <c r="N34" s="5" t="n">
        <v>2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1</v>
      </c>
      <c r="T34" s="5" t="n">
        <v>0</v>
      </c>
      <c r="U34" s="5" t="n">
        <v>0</v>
      </c>
      <c r="V34" s="5" t="n">
        <v>1</v>
      </c>
      <c r="W34" s="5" t="n">
        <f aca="false">IF(ISNUMBER(L34),L34+SUM(N34:V34),"")</f>
        <v>5</v>
      </c>
      <c r="X34" s="5" t="s">
        <v>85</v>
      </c>
      <c r="Y34" s="5"/>
      <c r="Z34" s="5" t="s">
        <v>86</v>
      </c>
      <c r="AA34" s="15" t="s">
        <v>216</v>
      </c>
      <c r="AB34" s="15"/>
    </row>
    <row r="35" customFormat="false" ht="23.85" hidden="false" customHeight="false" outlineLevel="0" collapsed="false">
      <c r="A35" s="5" t="n">
        <v>34</v>
      </c>
      <c r="B35" s="15" t="s">
        <v>217</v>
      </c>
      <c r="C35" s="15" t="s">
        <v>218</v>
      </c>
      <c r="D35" s="5" t="n">
        <v>6</v>
      </c>
      <c r="E35" s="5" t="str">
        <f aca="false">IF(D35="","not stated",IF(D35&lt;6,"&lt;6",IF(D35&lt;8,"6-7",IF(D35&lt;11,"8-10","11+"))))</f>
        <v>6-7</v>
      </c>
      <c r="F35" s="15" t="s">
        <v>219</v>
      </c>
      <c r="G35" s="5" t="s">
        <v>214</v>
      </c>
      <c r="H35" s="5" t="str">
        <f aca="false">IF(LEFT(G35,4)="2026","2026","2024-25")</f>
        <v>2024-25</v>
      </c>
      <c r="I35" s="5" t="s">
        <v>108</v>
      </c>
      <c r="J35" s="16" t="s">
        <v>220</v>
      </c>
      <c r="K35" s="5" t="str">
        <f aca="false">IF(ISNUMBER(L35),IF(L35&gt;0,"Yes","No"),"Unclear")</f>
        <v>Yes</v>
      </c>
      <c r="L35" s="5" t="n">
        <v>1</v>
      </c>
      <c r="M35" s="5" t="s">
        <v>130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f aca="false">IF(ISNUMBER(L35),L35+SUM(N35:V35),"")</f>
        <v>1</v>
      </c>
      <c r="X35" s="5" t="s">
        <v>86</v>
      </c>
      <c r="Y35" s="5" t="s">
        <v>221</v>
      </c>
      <c r="Z35" s="5" t="s">
        <v>86</v>
      </c>
      <c r="AA35" s="15" t="s">
        <v>115</v>
      </c>
      <c r="AB35" s="15"/>
    </row>
    <row r="36" customFormat="false" ht="23.85" hidden="false" customHeight="false" outlineLevel="0" collapsed="false">
      <c r="A36" s="5" t="n">
        <v>35</v>
      </c>
      <c r="B36" s="15" t="s">
        <v>126</v>
      </c>
      <c r="C36" s="15" t="s">
        <v>89</v>
      </c>
      <c r="D36" s="5" t="n">
        <v>6</v>
      </c>
      <c r="E36" s="5" t="str">
        <f aca="false">IF(D36="","not stated",IF(D36&lt;6,"&lt;6",IF(D36&lt;8,"6-7",IF(D36&lt;11,"8-10","11+"))))</f>
        <v>6-7</v>
      </c>
      <c r="F36" s="15" t="s">
        <v>155</v>
      </c>
      <c r="G36" s="5" t="s">
        <v>214</v>
      </c>
      <c r="H36" s="5" t="str">
        <f aca="false">IF(LEFT(G36,4)="2026","2026","2024-25")</f>
        <v>2024-25</v>
      </c>
      <c r="I36" s="5" t="s">
        <v>108</v>
      </c>
      <c r="J36" s="16" t="s">
        <v>222</v>
      </c>
      <c r="K36" s="5" t="str">
        <f aca="false">IF(ISNUMBER(L36),IF(L36&gt;0,"Yes","No"),"Unclear")</f>
        <v>Yes</v>
      </c>
      <c r="L36" s="5" t="n">
        <v>1</v>
      </c>
      <c r="M36" s="5" t="s">
        <v>97</v>
      </c>
      <c r="N36" s="5" t="n">
        <v>1</v>
      </c>
      <c r="O36" s="5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f aca="false">IF(ISNUMBER(L36),L36+SUM(N36:V36),"")</f>
        <v>3</v>
      </c>
      <c r="X36" s="5" t="s">
        <v>85</v>
      </c>
      <c r="Y36" s="5" t="s">
        <v>221</v>
      </c>
      <c r="Z36" s="5" t="s">
        <v>86</v>
      </c>
      <c r="AA36" s="15" t="s">
        <v>223</v>
      </c>
      <c r="AB36" s="15"/>
    </row>
    <row r="37" customFormat="false" ht="23.85" hidden="false" customHeight="false" outlineLevel="0" collapsed="false">
      <c r="A37" s="5" t="n">
        <v>36</v>
      </c>
      <c r="B37" s="15" t="s">
        <v>189</v>
      </c>
      <c r="C37" s="15" t="s">
        <v>89</v>
      </c>
      <c r="D37" s="5"/>
      <c r="E37" s="5" t="str">
        <f aca="false">IF(D37="","not stated",IF(D37&lt;6,"&lt;6",IF(D37&lt;8,"6-7",IF(D37&lt;11,"8-10","11+"))))</f>
        <v>not stated</v>
      </c>
      <c r="F37" s="15" t="s">
        <v>79</v>
      </c>
      <c r="G37" s="5" t="s">
        <v>214</v>
      </c>
      <c r="H37" s="5" t="str">
        <f aca="false">IF(LEFT(G37,4)="2026","2026","2024-25")</f>
        <v>2024-25</v>
      </c>
      <c r="I37" s="5" t="s">
        <v>224</v>
      </c>
      <c r="J37" s="16" t="s">
        <v>225</v>
      </c>
      <c r="K37" s="5" t="str">
        <f aca="false">IF(ISNUMBER(L37),IF(L37&gt;0,"Yes","No"),"Unclear")</f>
        <v>Yes</v>
      </c>
      <c r="L37" s="5" t="n">
        <v>2</v>
      </c>
      <c r="M37" s="5" t="s">
        <v>97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f aca="false">IF(ISNUMBER(L37),L37+SUM(N37:V37),"")</f>
        <v>4</v>
      </c>
      <c r="X37" s="5" t="s">
        <v>85</v>
      </c>
      <c r="Y37" s="5"/>
      <c r="Z37" s="5" t="s">
        <v>86</v>
      </c>
      <c r="AA37" s="15" t="s">
        <v>226</v>
      </c>
      <c r="AB37" s="15" t="s">
        <v>227</v>
      </c>
    </row>
    <row r="38" customFormat="false" ht="23.85" hidden="false" customHeight="false" outlineLevel="0" collapsed="false">
      <c r="A38" s="5" t="n">
        <v>37</v>
      </c>
      <c r="B38" s="15" t="s">
        <v>189</v>
      </c>
      <c r="C38" s="15" t="s">
        <v>228</v>
      </c>
      <c r="D38" s="5"/>
      <c r="E38" s="5" t="str">
        <f aca="false">IF(D38="","not stated",IF(D38&lt;6,"&lt;6",IF(D38&lt;8,"6-7",IF(D38&lt;11,"8-10","11+"))))</f>
        <v>not stated</v>
      </c>
      <c r="F38" s="15" t="s">
        <v>79</v>
      </c>
      <c r="G38" s="5" t="s">
        <v>214</v>
      </c>
      <c r="H38" s="5" t="str">
        <f aca="false">IF(LEFT(G38,4)="2026","2026","2024-25")</f>
        <v>2024-25</v>
      </c>
      <c r="I38" s="5" t="s">
        <v>224</v>
      </c>
      <c r="J38" s="16" t="s">
        <v>229</v>
      </c>
      <c r="K38" s="5" t="str">
        <f aca="false">IF(ISNUMBER(L38),IF(L38&gt;0,"Yes","No"),"Unclear")</f>
        <v>Unclear</v>
      </c>
      <c r="L38" s="5" t="s">
        <v>83</v>
      </c>
      <c r="M38" s="5" t="s">
        <v>84</v>
      </c>
      <c r="N38" s="5" t="n">
        <v>0</v>
      </c>
      <c r="O38" s="5" t="n">
        <v>0</v>
      </c>
      <c r="P38" s="5" t="n">
        <v>1</v>
      </c>
      <c r="Q38" s="5" t="n">
        <v>0</v>
      </c>
      <c r="R38" s="5" t="n">
        <v>0</v>
      </c>
      <c r="S38" s="5" t="n">
        <v>1</v>
      </c>
      <c r="T38" s="5" t="n">
        <v>0</v>
      </c>
      <c r="U38" s="5" t="n">
        <v>0</v>
      </c>
      <c r="V38" s="5" t="n">
        <v>1</v>
      </c>
      <c r="W38" s="5" t="str">
        <f aca="false">IF(ISNUMBER(L38),L38+SUM(N38:V38),"")</f>
        <v/>
      </c>
      <c r="X38" s="5" t="s">
        <v>85</v>
      </c>
      <c r="Y38" s="5"/>
      <c r="Z38" s="5" t="s">
        <v>86</v>
      </c>
      <c r="AA38" s="15" t="s">
        <v>98</v>
      </c>
      <c r="AB38" s="15" t="s">
        <v>230</v>
      </c>
    </row>
    <row r="39" customFormat="false" ht="15" hidden="false" customHeight="false" outlineLevel="0" collapsed="false">
      <c r="A39" s="5" t="n">
        <v>38</v>
      </c>
      <c r="B39" s="15" t="s">
        <v>231</v>
      </c>
      <c r="C39" s="15" t="s">
        <v>111</v>
      </c>
      <c r="D39" s="5"/>
      <c r="E39" s="5" t="str">
        <f aca="false">IF(D39="","not stated",IF(D39&lt;6,"&lt;6",IF(D39&lt;8,"6-7",IF(D39&lt;11,"8-10","11+"))))</f>
        <v>not stated</v>
      </c>
      <c r="F39" s="15" t="s">
        <v>112</v>
      </c>
      <c r="G39" s="5" t="s">
        <v>214</v>
      </c>
      <c r="H39" s="5" t="str">
        <f aca="false">IF(LEFT(G39,4)="2026","2026","2024-25")</f>
        <v>2024-25</v>
      </c>
      <c r="I39" s="5" t="s">
        <v>108</v>
      </c>
      <c r="J39" s="16" t="s">
        <v>232</v>
      </c>
      <c r="K39" s="5" t="str">
        <f aca="false">IF(ISNUMBER(L39),IF(L39&gt;0,"Yes","No"),"Unclear")</f>
        <v>Yes</v>
      </c>
      <c r="L39" s="5" t="n">
        <v>1</v>
      </c>
      <c r="M39" s="5" t="s">
        <v>205</v>
      </c>
      <c r="N39" s="5" t="n">
        <v>0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0</v>
      </c>
      <c r="V39" s="5" t="n">
        <v>1</v>
      </c>
      <c r="W39" s="5" t="n">
        <f aca="false">IF(ISNUMBER(L39),L39+SUM(N39:V39),"")</f>
        <v>4</v>
      </c>
      <c r="X39" s="5" t="s">
        <v>85</v>
      </c>
      <c r="Y39" s="5"/>
      <c r="Z39" s="5" t="s">
        <v>86</v>
      </c>
      <c r="AA39" s="15" t="s">
        <v>98</v>
      </c>
      <c r="AB39" s="15"/>
    </row>
    <row r="40" customFormat="false" ht="15" hidden="false" customHeight="false" outlineLevel="0" collapsed="false">
      <c r="A40" s="5" t="n">
        <v>39</v>
      </c>
      <c r="B40" s="15" t="s">
        <v>233</v>
      </c>
      <c r="C40" s="15" t="s">
        <v>174</v>
      </c>
      <c r="D40" s="5"/>
      <c r="E40" s="5" t="str">
        <f aca="false">IF(D40="","not stated",IF(D40&lt;6,"&lt;6",IF(D40&lt;8,"6-7",IF(D40&lt;11,"8-10","11+"))))</f>
        <v>not stated</v>
      </c>
      <c r="F40" s="15" t="s">
        <v>234</v>
      </c>
      <c r="G40" s="5" t="s">
        <v>214</v>
      </c>
      <c r="H40" s="5" t="str">
        <f aca="false">IF(LEFT(G40,4)="2026","2026","2024-25")</f>
        <v>2024-25</v>
      </c>
      <c r="I40" s="5" t="s">
        <v>108</v>
      </c>
      <c r="J40" s="16" t="s">
        <v>235</v>
      </c>
      <c r="K40" s="5" t="str">
        <f aca="false">IF(ISNUMBER(L40),IF(L40&gt;0,"Yes","No"),"Unclear")</f>
        <v>Yes</v>
      </c>
      <c r="L40" s="5" t="n">
        <v>1</v>
      </c>
      <c r="M40" s="5" t="s">
        <v>84</v>
      </c>
      <c r="N40" s="5" t="n">
        <v>0</v>
      </c>
      <c r="O40" s="5" t="n">
        <v>1</v>
      </c>
      <c r="P40" s="5" t="n">
        <v>0</v>
      </c>
      <c r="Q40" s="5" t="n">
        <v>0</v>
      </c>
      <c r="R40" s="5" t="n">
        <v>0</v>
      </c>
      <c r="S40" s="5" t="n">
        <v>1</v>
      </c>
      <c r="T40" s="5" t="n">
        <v>0</v>
      </c>
      <c r="U40" s="5" t="n">
        <v>0</v>
      </c>
      <c r="V40" s="5" t="n">
        <v>0</v>
      </c>
      <c r="W40" s="5" t="n">
        <f aca="false">IF(ISNUMBER(L40),L40+SUM(N40:V40),"")</f>
        <v>3</v>
      </c>
      <c r="X40" s="5" t="s">
        <v>86</v>
      </c>
      <c r="Y40" s="5"/>
      <c r="Z40" s="5" t="s">
        <v>86</v>
      </c>
      <c r="AA40" s="15" t="s">
        <v>226</v>
      </c>
      <c r="AB40" s="15"/>
    </row>
    <row r="41" customFormat="false" ht="23.85" hidden="false" customHeight="false" outlineLevel="0" collapsed="false">
      <c r="A41" s="5" t="n">
        <v>40</v>
      </c>
      <c r="B41" s="15" t="s">
        <v>236</v>
      </c>
      <c r="C41" s="15" t="s">
        <v>89</v>
      </c>
      <c r="D41" s="5"/>
      <c r="E41" s="5" t="str">
        <f aca="false">IF(D41="","not stated",IF(D41&lt;6,"&lt;6",IF(D41&lt;8,"6-7",IF(D41&lt;11,"8-10","11+"))))</f>
        <v>not stated</v>
      </c>
      <c r="F41" s="15" t="s">
        <v>79</v>
      </c>
      <c r="G41" s="5" t="s">
        <v>214</v>
      </c>
      <c r="H41" s="5" t="str">
        <f aca="false">IF(LEFT(G41,4)="2026","2026","2024-25")</f>
        <v>2024-25</v>
      </c>
      <c r="I41" s="5" t="s">
        <v>224</v>
      </c>
      <c r="J41" s="16" t="s">
        <v>237</v>
      </c>
      <c r="K41" s="5" t="str">
        <f aca="false">IF(ISNUMBER(L41),IF(L41&gt;0,"Yes","No"),"Unclear")</f>
        <v>Yes</v>
      </c>
      <c r="L41" s="5" t="n">
        <v>1</v>
      </c>
      <c r="M41" s="5" t="s">
        <v>130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f aca="false">IF(ISNUMBER(L41),L41+SUM(N41:V41),"")</f>
        <v>1</v>
      </c>
      <c r="X41" s="5" t="s">
        <v>85</v>
      </c>
      <c r="Y41" s="5"/>
      <c r="Z41" s="5" t="s">
        <v>86</v>
      </c>
      <c r="AA41" s="15" t="s">
        <v>226</v>
      </c>
      <c r="AB41" s="15" t="s">
        <v>238</v>
      </c>
    </row>
    <row r="42" customFormat="false" ht="23.85" hidden="false" customHeight="false" outlineLevel="0" collapsed="false">
      <c r="A42" s="5" t="n">
        <v>41</v>
      </c>
      <c r="B42" s="15" t="s">
        <v>239</v>
      </c>
      <c r="C42" s="15" t="s">
        <v>240</v>
      </c>
      <c r="D42" s="5" t="n">
        <v>6</v>
      </c>
      <c r="E42" s="5" t="str">
        <f aca="false">IF(D42="","not stated",IF(D42&lt;6,"&lt;6",IF(D42&lt;8,"6-7",IF(D42&lt;11,"8-10","11+"))))</f>
        <v>6-7</v>
      </c>
      <c r="F42" s="15" t="s">
        <v>155</v>
      </c>
      <c r="G42" s="5" t="s">
        <v>214</v>
      </c>
      <c r="H42" s="5" t="str">
        <f aca="false">IF(LEFT(G42,4)="2026","2026","2024-25")</f>
        <v>2024-25</v>
      </c>
      <c r="I42" s="5" t="s">
        <v>108</v>
      </c>
      <c r="J42" s="16" t="s">
        <v>241</v>
      </c>
      <c r="K42" s="5" t="str">
        <f aca="false">IF(ISNUMBER(L42),IF(L42&gt;0,"Yes","No"),"Unclear")</f>
        <v>Yes</v>
      </c>
      <c r="L42" s="5" t="n">
        <v>2</v>
      </c>
      <c r="M42" s="5" t="s">
        <v>124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f aca="false">IF(ISNUMBER(L42),L42+SUM(N42:V42),"")</f>
        <v>2</v>
      </c>
      <c r="X42" s="5" t="s">
        <v>86</v>
      </c>
      <c r="Y42" s="5" t="s">
        <v>221</v>
      </c>
      <c r="Z42" s="5" t="s">
        <v>86</v>
      </c>
      <c r="AA42" s="15" t="s">
        <v>242</v>
      </c>
      <c r="AB42" s="15"/>
    </row>
    <row r="43" customFormat="false" ht="15" hidden="false" customHeight="false" outlineLevel="0" collapsed="false">
      <c r="A43" s="5" t="n">
        <v>42</v>
      </c>
      <c r="B43" s="15" t="s">
        <v>193</v>
      </c>
      <c r="C43" s="15" t="s">
        <v>111</v>
      </c>
      <c r="D43" s="5" t="n">
        <v>6</v>
      </c>
      <c r="E43" s="5" t="str">
        <f aca="false">IF(D43="","not stated",IF(D43&lt;6,"&lt;6",IF(D43&lt;8,"6-7",IF(D43&lt;11,"8-10","11+"))))</f>
        <v>6-7</v>
      </c>
      <c r="F43" s="15" t="s">
        <v>112</v>
      </c>
      <c r="G43" s="5" t="s">
        <v>214</v>
      </c>
      <c r="H43" s="5" t="str">
        <f aca="false">IF(LEFT(G43,4)="2026","2026","2024-25")</f>
        <v>2024-25</v>
      </c>
      <c r="I43" s="5" t="s">
        <v>108</v>
      </c>
      <c r="J43" s="16" t="s">
        <v>243</v>
      </c>
      <c r="K43" s="5" t="str">
        <f aca="false">IF(ISNUMBER(L43),IF(L43&gt;0,"Yes","No"),"Unclear")</f>
        <v>Yes</v>
      </c>
      <c r="L43" s="5" t="n">
        <v>1</v>
      </c>
      <c r="M43" s="5" t="s">
        <v>97</v>
      </c>
      <c r="N43" s="5" t="n">
        <v>1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1</v>
      </c>
      <c r="W43" s="5" t="n">
        <f aca="false">IF(ISNUMBER(L43),L43+SUM(N43:V43),"")</f>
        <v>5</v>
      </c>
      <c r="X43" s="5" t="s">
        <v>85</v>
      </c>
      <c r="Y43" s="5"/>
      <c r="Z43" s="5" t="s">
        <v>86</v>
      </c>
      <c r="AA43" s="15" t="s">
        <v>146</v>
      </c>
      <c r="AB43" s="15"/>
    </row>
    <row r="44" customFormat="false" ht="23.85" hidden="false" customHeight="false" outlineLevel="0" collapsed="false">
      <c r="A44" s="5" t="n">
        <v>43</v>
      </c>
      <c r="B44" s="15" t="s">
        <v>244</v>
      </c>
      <c r="C44" s="15" t="s">
        <v>245</v>
      </c>
      <c r="D44" s="5" t="n">
        <v>6</v>
      </c>
      <c r="E44" s="5" t="str">
        <f aca="false">IF(D44="","not stated",IF(D44&lt;6,"&lt;6",IF(D44&lt;8,"6-7",IF(D44&lt;11,"8-10","11+"))))</f>
        <v>6-7</v>
      </c>
      <c r="F44" s="15" t="s">
        <v>155</v>
      </c>
      <c r="G44" s="5" t="s">
        <v>214</v>
      </c>
      <c r="H44" s="5" t="str">
        <f aca="false">IF(LEFT(G44,4)="2026","2026","2024-25")</f>
        <v>2024-25</v>
      </c>
      <c r="I44" s="5" t="s">
        <v>108</v>
      </c>
      <c r="J44" s="16" t="s">
        <v>246</v>
      </c>
      <c r="K44" s="5" t="str">
        <f aca="false">IF(ISNUMBER(L44),IF(L44&gt;0,"Yes","No"),"Unclear")</f>
        <v>Yes</v>
      </c>
      <c r="L44" s="5" t="n">
        <v>1</v>
      </c>
      <c r="M44" s="5" t="s">
        <v>124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f aca="false">IF(ISNUMBER(L44),L44+SUM(N44:V44),"")</f>
        <v>1</v>
      </c>
      <c r="X44" s="5" t="s">
        <v>86</v>
      </c>
      <c r="Y44" s="5" t="s">
        <v>221</v>
      </c>
      <c r="Z44" s="5" t="s">
        <v>86</v>
      </c>
      <c r="AA44" s="15" t="s">
        <v>247</v>
      </c>
      <c r="AB44" s="15" t="s">
        <v>248</v>
      </c>
    </row>
    <row r="45" customFormat="false" ht="15" hidden="false" customHeight="false" outlineLevel="0" collapsed="false">
      <c r="A45" s="5" t="n">
        <v>44</v>
      </c>
      <c r="B45" s="15" t="s">
        <v>94</v>
      </c>
      <c r="C45" s="15" t="s">
        <v>200</v>
      </c>
      <c r="D45" s="5" t="n">
        <v>10.3</v>
      </c>
      <c r="E45" s="5" t="str">
        <f aca="false">IF(D45="","not stated",IF(D45&lt;6,"&lt;6",IF(D45&lt;8,"6-7",IF(D45&lt;11,"8-10","11+"))))</f>
        <v>8-10</v>
      </c>
      <c r="F45" s="15" t="s">
        <v>153</v>
      </c>
      <c r="G45" s="5" t="s">
        <v>249</v>
      </c>
      <c r="H45" s="5" t="str">
        <f aca="false">IF(LEFT(G45,4)="2026","2026","2024-25")</f>
        <v>2024-25</v>
      </c>
      <c r="I45" s="5" t="s">
        <v>108</v>
      </c>
      <c r="J45" s="16" t="s">
        <v>250</v>
      </c>
      <c r="K45" s="5" t="str">
        <f aca="false">IF(ISNUMBER(L45),IF(L45&gt;0,"Yes","No"),"Unclear")</f>
        <v>Yes</v>
      </c>
      <c r="L45" s="5" t="n">
        <v>2</v>
      </c>
      <c r="M45" s="5" t="s">
        <v>97</v>
      </c>
      <c r="N45" s="5" t="n">
        <v>0</v>
      </c>
      <c r="O45" s="5" t="n">
        <v>1</v>
      </c>
      <c r="P45" s="5" t="n">
        <v>1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1</v>
      </c>
      <c r="W45" s="5" t="n">
        <f aca="false">IF(ISNUMBER(L45),L45+SUM(N45:V45),"")</f>
        <v>6</v>
      </c>
      <c r="X45" s="5" t="s">
        <v>85</v>
      </c>
      <c r="Y45" s="5"/>
      <c r="Z45" s="5" t="s">
        <v>86</v>
      </c>
      <c r="AA45" s="15" t="s">
        <v>84</v>
      </c>
      <c r="AB45" s="15"/>
    </row>
    <row r="46" customFormat="false" ht="15" hidden="false" customHeight="false" outlineLevel="0" collapsed="false">
      <c r="A46" s="5" t="n">
        <v>45</v>
      </c>
      <c r="B46" s="15" t="s">
        <v>100</v>
      </c>
      <c r="C46" s="15" t="s">
        <v>101</v>
      </c>
      <c r="D46" s="5" t="n">
        <v>6</v>
      </c>
      <c r="E46" s="5" t="str">
        <f aca="false">IF(D46="","not stated",IF(D46&lt;6,"&lt;6",IF(D46&lt;8,"6-7",IF(D46&lt;11,"8-10","11+"))))</f>
        <v>6-7</v>
      </c>
      <c r="F46" s="15" t="s">
        <v>112</v>
      </c>
      <c r="G46" s="5" t="s">
        <v>249</v>
      </c>
      <c r="H46" s="5" t="str">
        <f aca="false">IF(LEFT(G46,4)="2026","2026","2024-25")</f>
        <v>2024-25</v>
      </c>
      <c r="I46" s="5" t="s">
        <v>108</v>
      </c>
      <c r="J46" s="16" t="s">
        <v>251</v>
      </c>
      <c r="K46" s="5" t="str">
        <f aca="false">IF(ISNUMBER(L46),IF(L46&gt;0,"Yes","No"),"Unclear")</f>
        <v>No</v>
      </c>
      <c r="L46" s="5" t="n">
        <v>0</v>
      </c>
      <c r="M46" s="5" t="s">
        <v>141</v>
      </c>
      <c r="N46" s="5" t="n">
        <v>1</v>
      </c>
      <c r="O46" s="5" t="n">
        <v>1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1</v>
      </c>
      <c r="W46" s="5" t="n">
        <f aca="false">IF(ISNUMBER(L46),L46+SUM(N46:V46),"")</f>
        <v>4</v>
      </c>
      <c r="X46" s="5" t="s">
        <v>85</v>
      </c>
      <c r="Y46" s="5"/>
      <c r="Z46" s="5" t="s">
        <v>86</v>
      </c>
      <c r="AA46" s="15" t="s">
        <v>84</v>
      </c>
      <c r="AB46" s="15"/>
    </row>
    <row r="47" customFormat="false" ht="15" hidden="false" customHeight="false" outlineLevel="0" collapsed="false">
      <c r="A47" s="5" t="n">
        <v>46</v>
      </c>
      <c r="B47" s="15" t="s">
        <v>147</v>
      </c>
      <c r="C47" s="15" t="s">
        <v>252</v>
      </c>
      <c r="D47" s="5" t="n">
        <v>3</v>
      </c>
      <c r="E47" s="5" t="str">
        <f aca="false">IF(D47="","not stated",IF(D47&lt;6,"&lt;6",IF(D47&lt;8,"6-7",IF(D47&lt;11,"8-10","11+"))))</f>
        <v>&lt;6</v>
      </c>
      <c r="F47" s="15" t="s">
        <v>161</v>
      </c>
      <c r="G47" s="5" t="s">
        <v>249</v>
      </c>
      <c r="H47" s="5" t="str">
        <f aca="false">IF(LEFT(G47,4)="2026","2026","2024-25")</f>
        <v>2024-25</v>
      </c>
      <c r="I47" s="5" t="s">
        <v>108</v>
      </c>
      <c r="J47" s="16" t="s">
        <v>253</v>
      </c>
      <c r="K47" s="5" t="str">
        <f aca="false">IF(ISNUMBER(L47),IF(L47&gt;0,"Yes","No"),"Unclear")</f>
        <v>Yes</v>
      </c>
      <c r="L47" s="5" t="n">
        <v>2</v>
      </c>
      <c r="M47" s="5" t="s">
        <v>205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2</v>
      </c>
      <c r="T47" s="5" t="n">
        <v>0</v>
      </c>
      <c r="U47" s="5" t="n">
        <v>2</v>
      </c>
      <c r="V47" s="5" t="n">
        <v>0</v>
      </c>
      <c r="W47" s="5" t="n">
        <f aca="false">IF(ISNUMBER(L47),L47+SUM(N47:V47),"")</f>
        <v>7</v>
      </c>
      <c r="X47" s="5" t="s">
        <v>85</v>
      </c>
      <c r="Y47" s="5"/>
      <c r="Z47" s="5" t="s">
        <v>86</v>
      </c>
      <c r="AA47" s="15" t="s">
        <v>110</v>
      </c>
      <c r="AB47" s="15"/>
    </row>
    <row r="48" customFormat="false" ht="15" hidden="false" customHeight="false" outlineLevel="0" collapsed="false">
      <c r="A48" s="5" t="n">
        <v>47</v>
      </c>
      <c r="B48" s="15" t="s">
        <v>254</v>
      </c>
      <c r="C48" s="15" t="s">
        <v>89</v>
      </c>
      <c r="D48" s="5"/>
      <c r="E48" s="5" t="str">
        <f aca="false">IF(D48="","not stated",IF(D48&lt;6,"&lt;6",IF(D48&lt;8,"6-7",IF(D48&lt;11,"8-10","11+"))))</f>
        <v>not stated</v>
      </c>
      <c r="F48" s="15" t="s">
        <v>79</v>
      </c>
      <c r="G48" s="5" t="s">
        <v>249</v>
      </c>
      <c r="H48" s="5" t="str">
        <f aca="false">IF(LEFT(G48,4)="2026","2026","2024-25")</f>
        <v>2024-25</v>
      </c>
      <c r="I48" s="5" t="s">
        <v>224</v>
      </c>
      <c r="J48" s="16" t="s">
        <v>255</v>
      </c>
      <c r="K48" s="5" t="str">
        <f aca="false">IF(ISNUMBER(L48),IF(L48&gt;0,"Yes","No"),"Unclear")</f>
        <v>Yes</v>
      </c>
      <c r="L48" s="5" t="n">
        <v>1</v>
      </c>
      <c r="M48" s="5" t="s">
        <v>97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f aca="false">IF(ISNUMBER(L48),L48+SUM(N48:V48),"")</f>
        <v>1</v>
      </c>
      <c r="X48" s="5" t="s">
        <v>86</v>
      </c>
      <c r="Y48" s="5"/>
      <c r="Z48" s="5" t="s">
        <v>86</v>
      </c>
      <c r="AA48" s="15" t="s">
        <v>226</v>
      </c>
      <c r="AB48" s="15" t="s">
        <v>256</v>
      </c>
    </row>
    <row r="49" customFormat="false" ht="15" hidden="false" customHeight="false" outlineLevel="0" collapsed="false">
      <c r="A49" s="5" t="n">
        <v>48</v>
      </c>
      <c r="B49" s="15" t="s">
        <v>233</v>
      </c>
      <c r="C49" s="15" t="s">
        <v>152</v>
      </c>
      <c r="D49" s="5" t="n">
        <v>6</v>
      </c>
      <c r="E49" s="5" t="str">
        <f aca="false">IF(D49="","not stated",IF(D49&lt;6,"&lt;6",IF(D49&lt;8,"6-7",IF(D49&lt;11,"8-10","11+"))))</f>
        <v>6-7</v>
      </c>
      <c r="F49" s="15" t="s">
        <v>153</v>
      </c>
      <c r="G49" s="5" t="s">
        <v>249</v>
      </c>
      <c r="H49" s="5" t="str">
        <f aca="false">IF(LEFT(G49,4)="2026","2026","2024-25")</f>
        <v>2024-25</v>
      </c>
      <c r="I49" s="5" t="s">
        <v>108</v>
      </c>
      <c r="J49" s="16" t="s">
        <v>257</v>
      </c>
      <c r="K49" s="5" t="str">
        <f aca="false">IF(ISNUMBER(L49),IF(L49&gt;0,"Yes","No"),"Unclear")</f>
        <v>No</v>
      </c>
      <c r="L49" s="5" t="n">
        <v>0</v>
      </c>
      <c r="M49" s="5" t="s">
        <v>141</v>
      </c>
      <c r="N49" s="5" t="n">
        <v>1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1</v>
      </c>
      <c r="T49" s="5" t="n">
        <v>0</v>
      </c>
      <c r="U49" s="5" t="n">
        <v>0</v>
      </c>
      <c r="V49" s="5" t="n">
        <v>1</v>
      </c>
      <c r="W49" s="5" t="n">
        <f aca="false">IF(ISNUMBER(L49),L49+SUM(N49:V49),"")</f>
        <v>4</v>
      </c>
      <c r="X49" s="5" t="s">
        <v>85</v>
      </c>
      <c r="Y49" s="5"/>
      <c r="Z49" s="5" t="s">
        <v>86</v>
      </c>
      <c r="AA49" s="15" t="s">
        <v>98</v>
      </c>
      <c r="AB49" s="15"/>
    </row>
    <row r="50" customFormat="false" ht="15" hidden="false" customHeight="false" outlineLevel="0" collapsed="false">
      <c r="A50" s="5" t="n">
        <v>49</v>
      </c>
      <c r="B50" s="15" t="s">
        <v>258</v>
      </c>
      <c r="C50" s="15" t="s">
        <v>89</v>
      </c>
      <c r="D50" s="5" t="n">
        <v>7</v>
      </c>
      <c r="E50" s="5" t="str">
        <f aca="false">IF(D50="","not stated",IF(D50&lt;6,"&lt;6",IF(D50&lt;8,"6-7",IF(D50&lt;11,"8-10","11+"))))</f>
        <v>6-7</v>
      </c>
      <c r="F50" s="15" t="s">
        <v>153</v>
      </c>
      <c r="G50" s="5" t="s">
        <v>259</v>
      </c>
      <c r="H50" s="5" t="str">
        <f aca="false">IF(LEFT(G50,4)="2026","2026","2024-25")</f>
        <v>2024-25</v>
      </c>
      <c r="I50" s="5" t="s">
        <v>108</v>
      </c>
      <c r="J50" s="16" t="s">
        <v>260</v>
      </c>
      <c r="K50" s="5" t="str">
        <f aca="false">IF(ISNUMBER(L50),IF(L50&gt;0,"Yes","No"),"Unclear")</f>
        <v>Yes</v>
      </c>
      <c r="L50" s="5" t="n">
        <v>1</v>
      </c>
      <c r="M50" s="5" t="s">
        <v>205</v>
      </c>
      <c r="N50" s="5" t="n">
        <v>0</v>
      </c>
      <c r="O50" s="5" t="n">
        <v>1</v>
      </c>
      <c r="P50" s="5" t="n">
        <v>1</v>
      </c>
      <c r="Q50" s="5" t="n">
        <v>0</v>
      </c>
      <c r="R50" s="5" t="n">
        <v>0</v>
      </c>
      <c r="S50" s="5" t="n">
        <v>1</v>
      </c>
      <c r="T50" s="5" t="n">
        <v>0</v>
      </c>
      <c r="U50" s="5" t="n">
        <v>0</v>
      </c>
      <c r="V50" s="5" t="n">
        <v>1</v>
      </c>
      <c r="W50" s="5" t="n">
        <f aca="false">IF(ISNUMBER(L50),L50+SUM(N50:V50),"")</f>
        <v>5</v>
      </c>
      <c r="X50" s="5" t="s">
        <v>85</v>
      </c>
      <c r="Y50" s="5" t="s">
        <v>261</v>
      </c>
      <c r="Z50" s="5" t="s">
        <v>86</v>
      </c>
      <c r="AA50" s="15" t="s">
        <v>262</v>
      </c>
      <c r="AB50" s="15"/>
    </row>
    <row r="51" customFormat="false" ht="15" hidden="false" customHeight="false" outlineLevel="0" collapsed="false">
      <c r="A51" s="5" t="n">
        <v>50</v>
      </c>
      <c r="B51" s="15" t="s">
        <v>263</v>
      </c>
      <c r="C51" s="15" t="s">
        <v>264</v>
      </c>
      <c r="D51" s="5" t="n">
        <v>7</v>
      </c>
      <c r="E51" s="5" t="str">
        <f aca="false">IF(D51="","not stated",IF(D51&lt;6,"&lt;6",IF(D51&lt;8,"6-7",IF(D51&lt;11,"8-10","11+"))))</f>
        <v>6-7</v>
      </c>
      <c r="F51" s="15" t="s">
        <v>155</v>
      </c>
      <c r="G51" s="5" t="s">
        <v>259</v>
      </c>
      <c r="H51" s="5" t="str">
        <f aca="false">IF(LEFT(G51,4)="2026","2026","2024-25")</f>
        <v>2024-25</v>
      </c>
      <c r="I51" s="5" t="s">
        <v>108</v>
      </c>
      <c r="J51" s="16" t="s">
        <v>265</v>
      </c>
      <c r="K51" s="5" t="str">
        <f aca="false">IF(ISNUMBER(L51),IF(L51&gt;0,"Yes","No"),"Unclear")</f>
        <v>Yes</v>
      </c>
      <c r="L51" s="5" t="n">
        <v>1</v>
      </c>
      <c r="M51" s="5" t="s">
        <v>97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f aca="false">IF(ISNUMBER(L51),L51+SUM(N51:V51),"")</f>
        <v>2</v>
      </c>
      <c r="X51" s="5" t="s">
        <v>86</v>
      </c>
      <c r="Y51" s="5" t="s">
        <v>261</v>
      </c>
      <c r="Z51" s="5" t="s">
        <v>86</v>
      </c>
      <c r="AA51" s="15" t="s">
        <v>115</v>
      </c>
      <c r="AB51" s="15"/>
    </row>
    <row r="52" customFormat="false" ht="15" hidden="false" customHeight="false" outlineLevel="0" collapsed="false">
      <c r="A52" s="5" t="n">
        <v>51</v>
      </c>
      <c r="B52" s="15" t="s">
        <v>263</v>
      </c>
      <c r="C52" s="15" t="s">
        <v>266</v>
      </c>
      <c r="D52" s="5" t="n">
        <v>7</v>
      </c>
      <c r="E52" s="5" t="str">
        <f aca="false">IF(D52="","not stated",IF(D52&lt;6,"&lt;6",IF(D52&lt;8,"6-7",IF(D52&lt;11,"8-10","11+"))))</f>
        <v>6-7</v>
      </c>
      <c r="F52" s="15" t="s">
        <v>155</v>
      </c>
      <c r="G52" s="5" t="s">
        <v>259</v>
      </c>
      <c r="H52" s="5" t="str">
        <f aca="false">IF(LEFT(G52,4)="2026","2026","2024-25")</f>
        <v>2024-25</v>
      </c>
      <c r="I52" s="5" t="s">
        <v>108</v>
      </c>
      <c r="J52" s="16" t="s">
        <v>267</v>
      </c>
      <c r="K52" s="5" t="str">
        <f aca="false">IF(ISNUMBER(L52),IF(L52&gt;0,"Yes","No"),"Unclear")</f>
        <v>Yes</v>
      </c>
      <c r="L52" s="5" t="n">
        <v>1</v>
      </c>
      <c r="M52" s="5" t="s">
        <v>130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1</v>
      </c>
      <c r="T52" s="5" t="n">
        <v>0</v>
      </c>
      <c r="U52" s="5" t="n">
        <v>1</v>
      </c>
      <c r="V52" s="5" t="n">
        <v>0</v>
      </c>
      <c r="W52" s="5" t="n">
        <f aca="false">IF(ISNUMBER(L52),L52+SUM(N52:V52),"")</f>
        <v>3</v>
      </c>
      <c r="X52" s="5" t="s">
        <v>86</v>
      </c>
      <c r="Y52" s="5" t="s">
        <v>261</v>
      </c>
      <c r="Z52" s="5" t="s">
        <v>85</v>
      </c>
      <c r="AA52" s="15" t="s">
        <v>268</v>
      </c>
      <c r="AB52" s="15"/>
    </row>
    <row r="53" customFormat="false" ht="23.85" hidden="false" customHeight="false" outlineLevel="0" collapsed="false">
      <c r="A53" s="5" t="n">
        <v>52</v>
      </c>
      <c r="B53" s="15" t="s">
        <v>88</v>
      </c>
      <c r="C53" s="15" t="s">
        <v>89</v>
      </c>
      <c r="D53" s="5"/>
      <c r="E53" s="5" t="str">
        <f aca="false">IF(D53="","not stated",IF(D53&lt;6,"&lt;6",IF(D53&lt;8,"6-7",IF(D53&lt;11,"8-10","11+"))))</f>
        <v>not stated</v>
      </c>
      <c r="F53" s="15" t="s">
        <v>79</v>
      </c>
      <c r="G53" s="5" t="s">
        <v>259</v>
      </c>
      <c r="H53" s="5" t="str">
        <f aca="false">IF(LEFT(G53,4)="2026","2026","2024-25")</f>
        <v>2024-25</v>
      </c>
      <c r="I53" s="5" t="s">
        <v>224</v>
      </c>
      <c r="J53" s="16" t="s">
        <v>269</v>
      </c>
      <c r="K53" s="5" t="str">
        <f aca="false">IF(ISNUMBER(L53),IF(L53&gt;0,"Yes","No"),"Unclear")</f>
        <v>Yes</v>
      </c>
      <c r="L53" s="5" t="n">
        <v>1</v>
      </c>
      <c r="M53" s="5" t="s">
        <v>97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  <c r="U53" s="5" t="n">
        <v>0</v>
      </c>
      <c r="V53" s="5" t="n">
        <v>0</v>
      </c>
      <c r="W53" s="5" t="n">
        <f aca="false">IF(ISNUMBER(L53),L53+SUM(N53:V53),"")</f>
        <v>2</v>
      </c>
      <c r="X53" s="5" t="s">
        <v>86</v>
      </c>
      <c r="Y53" s="5"/>
      <c r="Z53" s="5" t="s">
        <v>86</v>
      </c>
      <c r="AA53" s="15" t="s">
        <v>226</v>
      </c>
      <c r="AB53" s="15" t="s">
        <v>270</v>
      </c>
    </row>
    <row r="54" customFormat="false" ht="15" hidden="false" customHeight="false" outlineLevel="0" collapsed="false">
      <c r="A54" s="5" t="n">
        <v>53</v>
      </c>
      <c r="B54" s="15" t="s">
        <v>94</v>
      </c>
      <c r="C54" s="15" t="s">
        <v>78</v>
      </c>
      <c r="D54" s="5" t="n">
        <v>6</v>
      </c>
      <c r="E54" s="5" t="str">
        <f aca="false">IF(D54="","not stated",IF(D54&lt;6,"&lt;6",IF(D54&lt;8,"6-7",IF(D54&lt;11,"8-10","11+"))))</f>
        <v>6-7</v>
      </c>
      <c r="F54" s="15" t="s">
        <v>112</v>
      </c>
      <c r="G54" s="5" t="s">
        <v>259</v>
      </c>
      <c r="H54" s="5" t="str">
        <f aca="false">IF(LEFT(G54,4)="2026","2026","2024-25")</f>
        <v>2024-25</v>
      </c>
      <c r="I54" s="5" t="s">
        <v>108</v>
      </c>
      <c r="J54" s="16" t="s">
        <v>271</v>
      </c>
      <c r="K54" s="5" t="str">
        <f aca="false">IF(ISNUMBER(L54),IF(L54&gt;0,"Yes","No"),"Unclear")</f>
        <v>Yes</v>
      </c>
      <c r="L54" s="5" t="n">
        <v>2</v>
      </c>
      <c r="M54" s="5" t="s">
        <v>97</v>
      </c>
      <c r="N54" s="5" t="n">
        <v>0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1</v>
      </c>
      <c r="T54" s="5" t="n">
        <v>0</v>
      </c>
      <c r="U54" s="5" t="n">
        <v>0</v>
      </c>
      <c r="V54" s="5" t="n">
        <v>1</v>
      </c>
      <c r="W54" s="5" t="n">
        <f aca="false">IF(ISNUMBER(L54),L54+SUM(N54:V54),"")</f>
        <v>5</v>
      </c>
      <c r="X54" s="5" t="s">
        <v>85</v>
      </c>
      <c r="Y54" s="5"/>
      <c r="Z54" s="5" t="s">
        <v>86</v>
      </c>
      <c r="AA54" s="15" t="s">
        <v>272</v>
      </c>
      <c r="AB54" s="15"/>
    </row>
    <row r="55" customFormat="false" ht="15" hidden="false" customHeight="false" outlineLevel="0" collapsed="false">
      <c r="A55" s="5" t="n">
        <v>54</v>
      </c>
      <c r="B55" s="15" t="s">
        <v>273</v>
      </c>
      <c r="C55" s="15" t="s">
        <v>274</v>
      </c>
      <c r="D55" s="5" t="n">
        <v>7</v>
      </c>
      <c r="E55" s="5" t="str">
        <f aca="false">IF(D55="","not stated",IF(D55&lt;6,"&lt;6",IF(D55&lt;8,"6-7",IF(D55&lt;11,"8-10","11+"))))</f>
        <v>6-7</v>
      </c>
      <c r="F55" s="15" t="s">
        <v>155</v>
      </c>
      <c r="G55" s="5" t="s">
        <v>259</v>
      </c>
      <c r="H55" s="5" t="str">
        <f aca="false">IF(LEFT(G55,4)="2026","2026","2024-25")</f>
        <v>2024-25</v>
      </c>
      <c r="I55" s="5" t="s">
        <v>108</v>
      </c>
      <c r="J55" s="16" t="s">
        <v>275</v>
      </c>
      <c r="K55" s="5" t="str">
        <f aca="false">IF(ISNUMBER(L55),IF(L55&gt;0,"Yes","No"),"Unclear")</f>
        <v>Yes</v>
      </c>
      <c r="L55" s="5" t="n">
        <v>2</v>
      </c>
      <c r="M55" s="5" t="s">
        <v>205</v>
      </c>
      <c r="N55" s="5" t="n">
        <v>0</v>
      </c>
      <c r="O55" s="5" t="n">
        <v>1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1</v>
      </c>
      <c r="V55" s="5" t="n">
        <v>0</v>
      </c>
      <c r="W55" s="5" t="n">
        <f aca="false">IF(ISNUMBER(L55),L55+SUM(N55:V55),"")</f>
        <v>5</v>
      </c>
      <c r="X55" s="5" t="s">
        <v>85</v>
      </c>
      <c r="Y55" s="5" t="s">
        <v>261</v>
      </c>
      <c r="Z55" s="5" t="s">
        <v>86</v>
      </c>
      <c r="AA55" s="15" t="s">
        <v>115</v>
      </c>
      <c r="AB55" s="15"/>
    </row>
    <row r="56" customFormat="false" ht="23.85" hidden="false" customHeight="false" outlineLevel="0" collapsed="false">
      <c r="A56" s="5" t="n">
        <v>55</v>
      </c>
      <c r="B56" s="15" t="s">
        <v>189</v>
      </c>
      <c r="C56" s="15" t="s">
        <v>228</v>
      </c>
      <c r="D56" s="5"/>
      <c r="E56" s="5" t="str">
        <f aca="false">IF(D56="","not stated",IF(D56&lt;6,"&lt;6",IF(D56&lt;8,"6-7",IF(D56&lt;11,"8-10","11+"))))</f>
        <v>not stated</v>
      </c>
      <c r="F56" s="15" t="s">
        <v>153</v>
      </c>
      <c r="G56" s="5" t="s">
        <v>259</v>
      </c>
      <c r="H56" s="5" t="str">
        <f aca="false">IF(LEFT(G56,4)="2026","2026","2024-25")</f>
        <v>2024-25</v>
      </c>
      <c r="I56" s="5" t="s">
        <v>224</v>
      </c>
      <c r="J56" s="16" t="s">
        <v>276</v>
      </c>
      <c r="K56" s="5" t="str">
        <f aca="false">IF(ISNUMBER(L56),IF(L56&gt;0,"Yes","No"),"Unclear")</f>
        <v>Unclear</v>
      </c>
      <c r="L56" s="5" t="s">
        <v>83</v>
      </c>
      <c r="M56" s="5" t="s">
        <v>84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1</v>
      </c>
      <c r="W56" s="5" t="str">
        <f aca="false">IF(ISNUMBER(L56),L56+SUM(N56:V56),"")</f>
        <v/>
      </c>
      <c r="X56" s="5" t="s">
        <v>85</v>
      </c>
      <c r="Y56" s="5"/>
      <c r="Z56" s="5" t="s">
        <v>86</v>
      </c>
      <c r="AA56" s="15" t="s">
        <v>226</v>
      </c>
      <c r="AB56" s="15" t="s">
        <v>277</v>
      </c>
    </row>
    <row r="57" customFormat="false" ht="23.85" hidden="false" customHeight="false" outlineLevel="0" collapsed="false">
      <c r="A57" s="5" t="n">
        <v>56</v>
      </c>
      <c r="B57" s="15" t="s">
        <v>278</v>
      </c>
      <c r="C57" s="15" t="s">
        <v>279</v>
      </c>
      <c r="D57" s="5" t="n">
        <v>7</v>
      </c>
      <c r="E57" s="5" t="str">
        <f aca="false">IF(D57="","not stated",IF(D57&lt;6,"&lt;6",IF(D57&lt;8,"6-7",IF(D57&lt;11,"8-10","11+"))))</f>
        <v>6-7</v>
      </c>
      <c r="F57" s="15" t="s">
        <v>153</v>
      </c>
      <c r="G57" s="5" t="s">
        <v>259</v>
      </c>
      <c r="H57" s="5" t="str">
        <f aca="false">IF(LEFT(G57,4)="2026","2026","2024-25")</f>
        <v>2024-25</v>
      </c>
      <c r="I57" s="5" t="s">
        <v>108</v>
      </c>
      <c r="J57" s="16" t="s">
        <v>280</v>
      </c>
      <c r="K57" s="5" t="str">
        <f aca="false">IF(ISNUMBER(L57),IF(L57&gt;0,"Yes","No"),"Unclear")</f>
        <v>Yes</v>
      </c>
      <c r="L57" s="5" t="n">
        <v>3</v>
      </c>
      <c r="M57" s="5" t="s">
        <v>97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2</v>
      </c>
      <c r="V57" s="5" t="n">
        <v>1</v>
      </c>
      <c r="W57" s="5" t="n">
        <f aca="false">IF(ISNUMBER(L57),L57+SUM(N57:V57),"")</f>
        <v>6</v>
      </c>
      <c r="X57" s="5" t="s">
        <v>85</v>
      </c>
      <c r="Y57" s="5" t="s">
        <v>261</v>
      </c>
      <c r="Z57" s="5" t="s">
        <v>86</v>
      </c>
      <c r="AA57" s="15" t="s">
        <v>110</v>
      </c>
      <c r="AB57" s="15" t="s">
        <v>281</v>
      </c>
    </row>
    <row r="58" customFormat="false" ht="15" hidden="false" customHeight="false" outlineLevel="0" collapsed="false">
      <c r="A58" s="5" t="n">
        <v>57</v>
      </c>
      <c r="B58" s="15" t="s">
        <v>282</v>
      </c>
      <c r="C58" s="15" t="s">
        <v>283</v>
      </c>
      <c r="D58" s="5" t="n">
        <v>7</v>
      </c>
      <c r="E58" s="5" t="str">
        <f aca="false">IF(D58="","not stated",IF(D58&lt;6,"&lt;6",IF(D58&lt;8,"6-7",IF(D58&lt;11,"8-10","11+"))))</f>
        <v>6-7</v>
      </c>
      <c r="F58" s="15" t="s">
        <v>284</v>
      </c>
      <c r="G58" s="5" t="s">
        <v>259</v>
      </c>
      <c r="H58" s="5" t="str">
        <f aca="false">IF(LEFT(G58,4)="2026","2026","2024-25")</f>
        <v>2024-25</v>
      </c>
      <c r="I58" s="5" t="s">
        <v>108</v>
      </c>
      <c r="J58" s="16" t="s">
        <v>285</v>
      </c>
      <c r="K58" s="5" t="str">
        <f aca="false">IF(ISNUMBER(L58),IF(L58&gt;0,"Yes","No"),"Unclear")</f>
        <v>Yes</v>
      </c>
      <c r="L58" s="5" t="n">
        <v>1</v>
      </c>
      <c r="M58" s="5" t="s">
        <v>205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1</v>
      </c>
      <c r="V58" s="5" t="n">
        <v>1</v>
      </c>
      <c r="W58" s="5" t="n">
        <f aca="false">IF(ISNUMBER(L58),L58+SUM(N58:V58),"")</f>
        <v>4</v>
      </c>
      <c r="X58" s="5" t="s">
        <v>85</v>
      </c>
      <c r="Y58" s="5" t="s">
        <v>261</v>
      </c>
      <c r="Z58" s="5" t="s">
        <v>86</v>
      </c>
      <c r="AA58" s="15" t="s">
        <v>286</v>
      </c>
      <c r="AB58" s="15"/>
    </row>
    <row r="59" customFormat="false" ht="15" hidden="false" customHeight="false" outlineLevel="0" collapsed="false">
      <c r="A59" s="5" t="n">
        <v>58</v>
      </c>
      <c r="B59" s="15" t="s">
        <v>287</v>
      </c>
      <c r="C59" s="15" t="s">
        <v>89</v>
      </c>
      <c r="D59" s="5" t="n">
        <v>7</v>
      </c>
      <c r="E59" s="5" t="str">
        <f aca="false">IF(D59="","not stated",IF(D59&lt;6,"&lt;6",IF(D59&lt;8,"6-7",IF(D59&lt;11,"8-10","11+"))))</f>
        <v>6-7</v>
      </c>
      <c r="F59" s="15" t="s">
        <v>155</v>
      </c>
      <c r="G59" s="5" t="s">
        <v>259</v>
      </c>
      <c r="H59" s="5" t="str">
        <f aca="false">IF(LEFT(G59,4)="2026","2026","2024-25")</f>
        <v>2024-25</v>
      </c>
      <c r="I59" s="5" t="s">
        <v>108</v>
      </c>
      <c r="J59" s="16" t="s">
        <v>288</v>
      </c>
      <c r="K59" s="5" t="str">
        <f aca="false">IF(ISNUMBER(L59),IF(L59&gt;0,"Yes","No"),"Unclear")</f>
        <v>Yes</v>
      </c>
      <c r="L59" s="5" t="n">
        <v>1</v>
      </c>
      <c r="M59" s="5" t="s">
        <v>205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1</v>
      </c>
      <c r="V59" s="5" t="n">
        <v>0</v>
      </c>
      <c r="W59" s="5" t="n">
        <f aca="false">IF(ISNUMBER(L59),L59+SUM(N59:V59),"")</f>
        <v>2</v>
      </c>
      <c r="X59" s="5" t="s">
        <v>86</v>
      </c>
      <c r="Y59" s="5" t="s">
        <v>261</v>
      </c>
      <c r="Z59" s="5" t="s">
        <v>86</v>
      </c>
      <c r="AA59" s="15" t="s">
        <v>115</v>
      </c>
      <c r="AB59" s="15"/>
    </row>
    <row r="60" customFormat="false" ht="35.05" hidden="false" customHeight="false" outlineLevel="0" collapsed="false">
      <c r="A60" s="5" t="n">
        <v>59</v>
      </c>
      <c r="B60" s="15" t="s">
        <v>289</v>
      </c>
      <c r="C60" s="15" t="s">
        <v>89</v>
      </c>
      <c r="D60" s="5"/>
      <c r="E60" s="5" t="str">
        <f aca="false">IF(D60="","not stated",IF(D60&lt;6,"&lt;6",IF(D60&lt;8,"6-7",IF(D60&lt;11,"8-10","11+"))))</f>
        <v>not stated</v>
      </c>
      <c r="F60" s="15" t="s">
        <v>79</v>
      </c>
      <c r="G60" s="5" t="s">
        <v>259</v>
      </c>
      <c r="H60" s="5" t="str">
        <f aca="false">IF(LEFT(G60,4)="2026","2026","2024-25")</f>
        <v>2024-25</v>
      </c>
      <c r="I60" s="5" t="s">
        <v>224</v>
      </c>
      <c r="J60" s="16" t="s">
        <v>290</v>
      </c>
      <c r="K60" s="5" t="str">
        <f aca="false">IF(ISNUMBER(L60),IF(L60&gt;0,"Yes","No"),"Unclear")</f>
        <v>Unclear</v>
      </c>
      <c r="L60" s="5" t="s">
        <v>83</v>
      </c>
      <c r="M60" s="5" t="s">
        <v>84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1</v>
      </c>
      <c r="T60" s="5" t="n">
        <v>0</v>
      </c>
      <c r="U60" s="5" t="n">
        <v>0</v>
      </c>
      <c r="V60" s="5" t="n">
        <v>1</v>
      </c>
      <c r="W60" s="5" t="str">
        <f aca="false">IF(ISNUMBER(L60),L60+SUM(N60:V60),"")</f>
        <v/>
      </c>
      <c r="X60" s="5" t="s">
        <v>85</v>
      </c>
      <c r="Y60" s="5"/>
      <c r="Z60" s="5" t="s">
        <v>86</v>
      </c>
      <c r="AA60" s="15" t="s">
        <v>98</v>
      </c>
      <c r="AB60" s="15" t="s">
        <v>291</v>
      </c>
    </row>
    <row r="61" customFormat="false" ht="35.05" hidden="false" customHeight="false" outlineLevel="0" collapsed="false">
      <c r="A61" s="5" t="n">
        <v>60</v>
      </c>
      <c r="B61" s="15" t="s">
        <v>289</v>
      </c>
      <c r="C61" s="15" t="s">
        <v>89</v>
      </c>
      <c r="D61" s="5"/>
      <c r="E61" s="5" t="str">
        <f aca="false">IF(D61="","not stated",IF(D61&lt;6,"&lt;6",IF(D61&lt;8,"6-7",IF(D61&lt;11,"8-10","11+"))))</f>
        <v>not stated</v>
      </c>
      <c r="F61" s="15" t="s">
        <v>79</v>
      </c>
      <c r="G61" s="5" t="s">
        <v>259</v>
      </c>
      <c r="H61" s="5" t="str">
        <f aca="false">IF(LEFT(G61,4)="2026","2026","2024-25")</f>
        <v>2024-25</v>
      </c>
      <c r="I61" s="5" t="s">
        <v>224</v>
      </c>
      <c r="J61" s="16" t="s">
        <v>292</v>
      </c>
      <c r="K61" s="5" t="str">
        <f aca="false">IF(ISNUMBER(L61),IF(L61&gt;0,"Yes","No"),"Unclear")</f>
        <v>No</v>
      </c>
      <c r="L61" s="5" t="n">
        <v>0</v>
      </c>
      <c r="M61" s="5" t="s">
        <v>141</v>
      </c>
      <c r="N61" s="5" t="n">
        <v>1</v>
      </c>
      <c r="O61" s="5" t="n">
        <v>0</v>
      </c>
      <c r="P61" s="5" t="n">
        <v>1</v>
      </c>
      <c r="Q61" s="5" t="n">
        <v>0</v>
      </c>
      <c r="R61" s="5" t="n">
        <v>1</v>
      </c>
      <c r="S61" s="5" t="n">
        <v>0</v>
      </c>
      <c r="T61" s="5" t="n">
        <v>0</v>
      </c>
      <c r="U61" s="5" t="n">
        <v>0</v>
      </c>
      <c r="V61" s="5" t="n">
        <v>1</v>
      </c>
      <c r="W61" s="5" t="n">
        <f aca="false">IF(ISNUMBER(L61),L61+SUM(N61:V61),"")</f>
        <v>4</v>
      </c>
      <c r="X61" s="5" t="s">
        <v>85</v>
      </c>
      <c r="Y61" s="5"/>
      <c r="Z61" s="5" t="s">
        <v>86</v>
      </c>
      <c r="AA61" s="15" t="s">
        <v>226</v>
      </c>
      <c r="AB61" s="15" t="s">
        <v>293</v>
      </c>
    </row>
    <row r="62" customFormat="false" ht="15" hidden="false" customHeight="false" outlineLevel="0" collapsed="false">
      <c r="A62" s="5" t="n">
        <v>61</v>
      </c>
      <c r="B62" s="15" t="s">
        <v>294</v>
      </c>
      <c r="C62" s="15" t="s">
        <v>89</v>
      </c>
      <c r="D62" s="5" t="n">
        <v>3</v>
      </c>
      <c r="E62" s="5" t="str">
        <f aca="false">IF(D62="","not stated",IF(D62&lt;6,"&lt;6",IF(D62&lt;8,"6-7",IF(D62&lt;11,"8-10","11+"))))</f>
        <v>&lt;6</v>
      </c>
      <c r="F62" s="15" t="s">
        <v>112</v>
      </c>
      <c r="G62" s="5" t="s">
        <v>259</v>
      </c>
      <c r="H62" s="5" t="str">
        <f aca="false">IF(LEFT(G62,4)="2026","2026","2024-25")</f>
        <v>2024-25</v>
      </c>
      <c r="I62" s="5" t="s">
        <v>108</v>
      </c>
      <c r="J62" s="16" t="s">
        <v>295</v>
      </c>
      <c r="K62" s="5" t="str">
        <f aca="false">IF(ISNUMBER(L62),IF(L62&gt;0,"Yes","No"),"Unclear")</f>
        <v>Yes</v>
      </c>
      <c r="L62" s="5" t="n">
        <v>4</v>
      </c>
      <c r="M62" s="5" t="s">
        <v>124</v>
      </c>
      <c r="N62" s="5" t="n">
        <v>0</v>
      </c>
      <c r="O62" s="5" t="n">
        <v>1</v>
      </c>
      <c r="P62" s="5" t="n">
        <v>1</v>
      </c>
      <c r="Q62" s="5" t="n">
        <v>0</v>
      </c>
      <c r="R62" s="5" t="n">
        <v>0</v>
      </c>
      <c r="S62" s="5" t="n">
        <v>1</v>
      </c>
      <c r="T62" s="5" t="n">
        <v>0</v>
      </c>
      <c r="U62" s="5" t="n">
        <v>1</v>
      </c>
      <c r="V62" s="5" t="n">
        <v>0</v>
      </c>
      <c r="W62" s="5" t="n">
        <f aca="false">IF(ISNUMBER(L62),L62+SUM(N62:V62),"")</f>
        <v>8</v>
      </c>
      <c r="X62" s="5" t="s">
        <v>85</v>
      </c>
      <c r="Y62" s="5"/>
      <c r="Z62" s="5" t="s">
        <v>86</v>
      </c>
      <c r="AA62" s="15" t="s">
        <v>115</v>
      </c>
      <c r="AB62" s="15"/>
    </row>
    <row r="63" customFormat="false" ht="23.85" hidden="false" customHeight="false" outlineLevel="0" collapsed="false">
      <c r="A63" s="5" t="n">
        <v>62</v>
      </c>
      <c r="B63" s="15" t="s">
        <v>296</v>
      </c>
      <c r="C63" s="15" t="s">
        <v>274</v>
      </c>
      <c r="D63" s="5" t="n">
        <v>7</v>
      </c>
      <c r="E63" s="5" t="str">
        <f aca="false">IF(D63="","not stated",IF(D63&lt;6,"&lt;6",IF(D63&lt;8,"6-7",IF(D63&lt;11,"8-10","11+"))))</f>
        <v>6-7</v>
      </c>
      <c r="F63" s="15" t="s">
        <v>297</v>
      </c>
      <c r="G63" s="5" t="s">
        <v>259</v>
      </c>
      <c r="H63" s="5" t="str">
        <f aca="false">IF(LEFT(G63,4)="2026","2026","2024-25")</f>
        <v>2024-25</v>
      </c>
      <c r="I63" s="5" t="s">
        <v>108</v>
      </c>
      <c r="J63" s="16" t="s">
        <v>298</v>
      </c>
      <c r="K63" s="5" t="str">
        <f aca="false">IF(ISNUMBER(L63),IF(L63&gt;0,"Yes","No"),"Unclear")</f>
        <v>Yes</v>
      </c>
      <c r="L63" s="5" t="n">
        <v>1</v>
      </c>
      <c r="M63" s="5" t="s">
        <v>97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1</v>
      </c>
      <c r="T63" s="5" t="n">
        <v>0</v>
      </c>
      <c r="U63" s="5" t="n">
        <v>1</v>
      </c>
      <c r="V63" s="5" t="n">
        <v>0</v>
      </c>
      <c r="W63" s="5" t="n">
        <f aca="false">IF(ISNUMBER(L63),L63+SUM(N63:V63),"")</f>
        <v>3</v>
      </c>
      <c r="X63" s="5" t="s">
        <v>85</v>
      </c>
      <c r="Y63" s="5" t="s">
        <v>261</v>
      </c>
      <c r="Z63" s="5" t="s">
        <v>86</v>
      </c>
      <c r="AA63" s="15" t="s">
        <v>98</v>
      </c>
      <c r="AB63" s="15"/>
    </row>
    <row r="64" customFormat="false" ht="15" hidden="false" customHeight="false" outlineLevel="0" collapsed="false">
      <c r="A64" s="5" t="n">
        <v>63</v>
      </c>
      <c r="B64" s="15" t="s">
        <v>104</v>
      </c>
      <c r="C64" s="15" t="s">
        <v>89</v>
      </c>
      <c r="D64" s="5" t="n">
        <v>7</v>
      </c>
      <c r="E64" s="5" t="str">
        <f aca="false">IF(D64="","not stated",IF(D64&lt;6,"&lt;6",IF(D64&lt;8,"6-7",IF(D64&lt;11,"8-10","11+"))))</f>
        <v>6-7</v>
      </c>
      <c r="F64" s="15" t="s">
        <v>153</v>
      </c>
      <c r="G64" s="5" t="s">
        <v>299</v>
      </c>
      <c r="H64" s="5" t="str">
        <f aca="false">IF(LEFT(G64,4)="2026","2026","2024-25")</f>
        <v>2024-25</v>
      </c>
      <c r="I64" s="5" t="s">
        <v>108</v>
      </c>
      <c r="J64" s="16" t="s">
        <v>300</v>
      </c>
      <c r="K64" s="5" t="str">
        <f aca="false">IF(ISNUMBER(L64),IF(L64&gt;0,"Yes","No"),"Unclear")</f>
        <v>Yes</v>
      </c>
      <c r="L64" s="5" t="n">
        <v>1</v>
      </c>
      <c r="M64" s="5" t="s">
        <v>84</v>
      </c>
      <c r="N64" s="5" t="n">
        <v>0</v>
      </c>
      <c r="O64" s="5" t="n">
        <v>1</v>
      </c>
      <c r="P64" s="5" t="n">
        <v>1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1</v>
      </c>
      <c r="V64" s="5" t="n">
        <v>0</v>
      </c>
      <c r="W64" s="5" t="n">
        <f aca="false">IF(ISNUMBER(L64),L64+SUM(N64:V64),"")</f>
        <v>4</v>
      </c>
      <c r="X64" s="5" t="s">
        <v>85</v>
      </c>
      <c r="Y64" s="5"/>
      <c r="Z64" s="5" t="s">
        <v>86</v>
      </c>
      <c r="AA64" s="15" t="s">
        <v>84</v>
      </c>
      <c r="AB64" s="15"/>
    </row>
    <row r="65" customFormat="false" ht="15" hidden="false" customHeight="false" outlineLevel="0" collapsed="false">
      <c r="A65" s="5" t="n">
        <v>64</v>
      </c>
      <c r="B65" s="15" t="s">
        <v>301</v>
      </c>
      <c r="C65" s="15" t="s">
        <v>302</v>
      </c>
      <c r="D65" s="5"/>
      <c r="E65" s="5" t="str">
        <f aca="false">IF(D65="","not stated",IF(D65&lt;6,"&lt;6",IF(D65&lt;8,"6-7",IF(D65&lt;11,"8-10","11+"))))</f>
        <v>not stated</v>
      </c>
      <c r="F65" s="15" t="s">
        <v>112</v>
      </c>
      <c r="G65" s="5" t="s">
        <v>299</v>
      </c>
      <c r="H65" s="5" t="str">
        <f aca="false">IF(LEFT(G65,4)="2026","2026","2024-25")</f>
        <v>2024-25</v>
      </c>
      <c r="I65" s="5" t="s">
        <v>108</v>
      </c>
      <c r="J65" s="16" t="s">
        <v>303</v>
      </c>
      <c r="K65" s="5" t="str">
        <f aca="false">IF(ISNUMBER(L65),IF(L65&gt;0,"Yes","No"),"Unclear")</f>
        <v>Yes</v>
      </c>
      <c r="L65" s="5" t="n">
        <v>4</v>
      </c>
      <c r="M65" s="5" t="s">
        <v>97</v>
      </c>
      <c r="N65" s="5" t="n">
        <v>0</v>
      </c>
      <c r="O65" s="5" t="n">
        <v>1</v>
      </c>
      <c r="P65" s="5" t="n">
        <v>1</v>
      </c>
      <c r="Q65" s="5" t="n">
        <v>0</v>
      </c>
      <c r="R65" s="5" t="n">
        <v>0</v>
      </c>
      <c r="S65" s="5" t="n">
        <v>1</v>
      </c>
      <c r="T65" s="5" t="n">
        <v>0</v>
      </c>
      <c r="U65" s="5" t="n">
        <v>1</v>
      </c>
      <c r="V65" s="5" t="n">
        <v>1</v>
      </c>
      <c r="W65" s="5" t="n">
        <f aca="false">IF(ISNUMBER(L65),L65+SUM(N65:V65),"")</f>
        <v>9</v>
      </c>
      <c r="X65" s="5" t="s">
        <v>85</v>
      </c>
      <c r="Y65" s="5"/>
      <c r="Z65" s="5" t="s">
        <v>86</v>
      </c>
      <c r="AA65" s="15" t="s">
        <v>146</v>
      </c>
      <c r="AB65" s="15"/>
    </row>
    <row r="66" customFormat="false" ht="15" hidden="false" customHeight="false" outlineLevel="0" collapsed="false">
      <c r="A66" s="5" t="n">
        <v>65</v>
      </c>
      <c r="B66" s="15" t="s">
        <v>189</v>
      </c>
      <c r="C66" s="15" t="s">
        <v>78</v>
      </c>
      <c r="D66" s="5"/>
      <c r="E66" s="5" t="str">
        <f aca="false">IF(D66="","not stated",IF(D66&lt;6,"&lt;6",IF(D66&lt;8,"6-7",IF(D66&lt;11,"8-10","11+"))))</f>
        <v>not stated</v>
      </c>
      <c r="F66" s="15" t="s">
        <v>79</v>
      </c>
      <c r="G66" s="5" t="s">
        <v>299</v>
      </c>
      <c r="H66" s="5" t="str">
        <f aca="false">IF(LEFT(G66,4)="2026","2026","2024-25")</f>
        <v>2024-25</v>
      </c>
      <c r="I66" s="5" t="s">
        <v>81</v>
      </c>
      <c r="J66" s="16" t="s">
        <v>304</v>
      </c>
      <c r="K66" s="5" t="str">
        <f aca="false">IF(ISNUMBER(L66),IF(L66&gt;0,"Yes","No"),"Unclear")</f>
        <v>Yes</v>
      </c>
      <c r="L66" s="5" t="n">
        <v>2</v>
      </c>
      <c r="M66" s="5" t="s">
        <v>97</v>
      </c>
      <c r="N66" s="5" t="n">
        <v>0</v>
      </c>
      <c r="O66" s="5" t="n">
        <v>0</v>
      </c>
      <c r="P66" s="5" t="n">
        <v>1</v>
      </c>
      <c r="Q66" s="5" t="n">
        <v>0</v>
      </c>
      <c r="R66" s="5" t="n">
        <v>1</v>
      </c>
      <c r="S66" s="5" t="n">
        <v>0</v>
      </c>
      <c r="T66" s="5" t="n">
        <v>0</v>
      </c>
      <c r="U66" s="5" t="n">
        <v>0</v>
      </c>
      <c r="V66" s="5" t="n">
        <v>2</v>
      </c>
      <c r="W66" s="5" t="n">
        <f aca="false">IF(ISNUMBER(L66),L66+SUM(N66:V66),"")</f>
        <v>6</v>
      </c>
      <c r="X66" s="5" t="s">
        <v>85</v>
      </c>
      <c r="Y66" s="5"/>
      <c r="Z66" s="5" t="s">
        <v>86</v>
      </c>
      <c r="AA66" s="15" t="s">
        <v>98</v>
      </c>
      <c r="AB66" s="15" t="s">
        <v>305</v>
      </c>
    </row>
    <row r="67" customFormat="false" ht="23.85" hidden="false" customHeight="false" outlineLevel="0" collapsed="false">
      <c r="A67" s="5" t="n">
        <v>66</v>
      </c>
      <c r="B67" s="15" t="s">
        <v>189</v>
      </c>
      <c r="C67" s="15" t="s">
        <v>228</v>
      </c>
      <c r="D67" s="5"/>
      <c r="E67" s="5" t="str">
        <f aca="false">IF(D67="","not stated",IF(D67&lt;6,"&lt;6",IF(D67&lt;8,"6-7",IF(D67&lt;11,"8-10","11+"))))</f>
        <v>not stated</v>
      </c>
      <c r="F67" s="15" t="s">
        <v>79</v>
      </c>
      <c r="G67" s="5" t="s">
        <v>299</v>
      </c>
      <c r="H67" s="5" t="str">
        <f aca="false">IF(LEFT(G67,4)="2026","2026","2024-25")</f>
        <v>2024-25</v>
      </c>
      <c r="I67" s="5" t="s">
        <v>224</v>
      </c>
      <c r="J67" s="16" t="s">
        <v>306</v>
      </c>
      <c r="K67" s="5" t="str">
        <f aca="false">IF(ISNUMBER(L67),IF(L67&gt;0,"Yes","No"),"Unclear")</f>
        <v>Unclear</v>
      </c>
      <c r="L67" s="5" t="s">
        <v>83</v>
      </c>
      <c r="M67" s="5" t="s">
        <v>84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1</v>
      </c>
      <c r="T67" s="5" t="n">
        <v>1</v>
      </c>
      <c r="U67" s="5" t="n">
        <v>1</v>
      </c>
      <c r="V67" s="5" t="n">
        <v>1</v>
      </c>
      <c r="W67" s="5" t="str">
        <f aca="false">IF(ISNUMBER(L67),L67+SUM(N67:V67),"")</f>
        <v/>
      </c>
      <c r="X67" s="5" t="s">
        <v>85</v>
      </c>
      <c r="Y67" s="5"/>
      <c r="Z67" s="5" t="s">
        <v>86</v>
      </c>
      <c r="AA67" s="15" t="s">
        <v>98</v>
      </c>
      <c r="AB67" s="15" t="s">
        <v>307</v>
      </c>
    </row>
    <row r="68" customFormat="false" ht="15" hidden="false" customHeight="false" outlineLevel="0" collapsed="false">
      <c r="A68" s="5" t="n">
        <v>67</v>
      </c>
      <c r="B68" s="15" t="s">
        <v>308</v>
      </c>
      <c r="C68" s="15" t="s">
        <v>148</v>
      </c>
      <c r="D68" s="5" t="n">
        <v>3</v>
      </c>
      <c r="E68" s="5" t="str">
        <f aca="false">IF(D68="","not stated",IF(D68&lt;6,"&lt;6",IF(D68&lt;8,"6-7",IF(D68&lt;11,"8-10","11+"))))</f>
        <v>&lt;6</v>
      </c>
      <c r="F68" s="15" t="s">
        <v>284</v>
      </c>
      <c r="G68" s="5" t="s">
        <v>299</v>
      </c>
      <c r="H68" s="5" t="str">
        <f aca="false">IF(LEFT(G68,4)="2026","2026","2024-25")</f>
        <v>2024-25</v>
      </c>
      <c r="I68" s="5" t="s">
        <v>108</v>
      </c>
      <c r="J68" s="16" t="s">
        <v>309</v>
      </c>
      <c r="K68" s="5" t="str">
        <f aca="false">IF(ISNUMBER(L68),IF(L68&gt;0,"Yes","No"),"Unclear")</f>
        <v>Yes</v>
      </c>
      <c r="L68" s="5" t="n">
        <v>4</v>
      </c>
      <c r="M68" s="5" t="s">
        <v>97</v>
      </c>
      <c r="N68" s="5" t="n">
        <v>0</v>
      </c>
      <c r="O68" s="5" t="n">
        <v>1</v>
      </c>
      <c r="P68" s="5" t="n">
        <v>1</v>
      </c>
      <c r="Q68" s="5" t="n">
        <v>0</v>
      </c>
      <c r="R68" s="5" t="n">
        <v>0</v>
      </c>
      <c r="S68" s="5" t="n">
        <v>1</v>
      </c>
      <c r="T68" s="5" t="n">
        <v>0</v>
      </c>
      <c r="U68" s="5" t="n">
        <v>1</v>
      </c>
      <c r="V68" s="5" t="n">
        <v>0</v>
      </c>
      <c r="W68" s="5" t="n">
        <f aca="false">IF(ISNUMBER(L68),L68+SUM(N68:V68),"")</f>
        <v>8</v>
      </c>
      <c r="X68" s="5" t="s">
        <v>85</v>
      </c>
      <c r="Y68" s="5"/>
      <c r="Z68" s="5" t="s">
        <v>86</v>
      </c>
      <c r="AA68" s="15" t="s">
        <v>146</v>
      </c>
      <c r="AB68" s="15"/>
    </row>
    <row r="69" customFormat="false" ht="23.85" hidden="false" customHeight="false" outlineLevel="0" collapsed="false">
      <c r="A69" s="5" t="n">
        <v>68</v>
      </c>
      <c r="B69" s="15" t="s">
        <v>104</v>
      </c>
      <c r="C69" s="15" t="s">
        <v>89</v>
      </c>
      <c r="D69" s="5"/>
      <c r="E69" s="5" t="str">
        <f aca="false">IF(D69="","not stated",IF(D69&lt;6,"&lt;6",IF(D69&lt;8,"6-7",IF(D69&lt;11,"8-10","11+"))))</f>
        <v>not stated</v>
      </c>
      <c r="F69" s="15" t="s">
        <v>79</v>
      </c>
      <c r="G69" s="5" t="s">
        <v>310</v>
      </c>
      <c r="H69" s="5" t="str">
        <f aca="false">IF(LEFT(G69,4)="2026","2026","2024-25")</f>
        <v>2024-25</v>
      </c>
      <c r="I69" s="5" t="s">
        <v>224</v>
      </c>
      <c r="J69" s="16" t="s">
        <v>311</v>
      </c>
      <c r="K69" s="5" t="str">
        <f aca="false">IF(ISNUMBER(L69),IF(L69&gt;0,"Yes","No"),"Unclear")</f>
        <v>Yes</v>
      </c>
      <c r="L69" s="5" t="n">
        <v>1</v>
      </c>
      <c r="M69" s="5" t="s">
        <v>97</v>
      </c>
      <c r="N69" s="5" t="n">
        <v>0</v>
      </c>
      <c r="O69" s="5" t="n">
        <v>1</v>
      </c>
      <c r="P69" s="5" t="n">
        <v>0</v>
      </c>
      <c r="Q69" s="5" t="n">
        <v>0</v>
      </c>
      <c r="R69" s="5" t="n">
        <v>0</v>
      </c>
      <c r="S69" s="5" t="n">
        <v>1</v>
      </c>
      <c r="T69" s="5" t="n">
        <v>0</v>
      </c>
      <c r="U69" s="5" t="n">
        <v>0</v>
      </c>
      <c r="V69" s="5" t="n">
        <v>0</v>
      </c>
      <c r="W69" s="5" t="n">
        <f aca="false">IF(ISNUMBER(L69),L69+SUM(N69:V69),"")</f>
        <v>3</v>
      </c>
      <c r="X69" s="5" t="s">
        <v>85</v>
      </c>
      <c r="Y69" s="5"/>
      <c r="Z69" s="5" t="s">
        <v>86</v>
      </c>
      <c r="AA69" s="15" t="s">
        <v>226</v>
      </c>
      <c r="AB69" s="15" t="s">
        <v>312</v>
      </c>
    </row>
    <row r="70" customFormat="false" ht="23.85" hidden="false" customHeight="false" outlineLevel="0" collapsed="false">
      <c r="A70" s="5" t="n">
        <v>69</v>
      </c>
      <c r="B70" s="15" t="s">
        <v>263</v>
      </c>
      <c r="C70" s="15" t="s">
        <v>89</v>
      </c>
      <c r="D70" s="5"/>
      <c r="E70" s="5" t="str">
        <f aca="false">IF(D70="","not stated",IF(D70&lt;6,"&lt;6",IF(D70&lt;8,"6-7",IF(D70&lt;11,"8-10","11+"))))</f>
        <v>not stated</v>
      </c>
      <c r="F70" s="15" t="s">
        <v>79</v>
      </c>
      <c r="G70" s="5" t="s">
        <v>310</v>
      </c>
      <c r="H70" s="5" t="str">
        <f aca="false">IF(LEFT(G70,4)="2026","2026","2024-25")</f>
        <v>2024-25</v>
      </c>
      <c r="I70" s="5" t="s">
        <v>224</v>
      </c>
      <c r="J70" s="16" t="s">
        <v>313</v>
      </c>
      <c r="K70" s="5" t="str">
        <f aca="false">IF(ISNUMBER(L70),IF(L70&gt;0,"Yes","No"),"Unclear")</f>
        <v>Yes</v>
      </c>
      <c r="L70" s="5" t="n">
        <v>1</v>
      </c>
      <c r="M70" s="5" t="s">
        <v>84</v>
      </c>
      <c r="N70" s="5" t="n">
        <v>0</v>
      </c>
      <c r="O70" s="5" t="n">
        <v>0</v>
      </c>
      <c r="P70" s="5" t="n">
        <v>1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1</v>
      </c>
      <c r="V70" s="5" t="n">
        <v>0</v>
      </c>
      <c r="W70" s="5" t="n">
        <f aca="false">IF(ISNUMBER(L70),L70+SUM(N70:V70),"")</f>
        <v>3</v>
      </c>
      <c r="X70" s="5" t="s">
        <v>85</v>
      </c>
      <c r="Y70" s="5"/>
      <c r="Z70" s="5" t="s">
        <v>86</v>
      </c>
      <c r="AA70" s="15" t="s">
        <v>226</v>
      </c>
      <c r="AB70" s="15" t="s">
        <v>314</v>
      </c>
    </row>
    <row r="71" customFormat="false" ht="15" hidden="false" customHeight="false" outlineLevel="0" collapsed="false">
      <c r="A71" s="5" t="n">
        <v>70</v>
      </c>
      <c r="B71" s="15" t="s">
        <v>263</v>
      </c>
      <c r="C71" s="15" t="s">
        <v>89</v>
      </c>
      <c r="D71" s="5"/>
      <c r="E71" s="5" t="str">
        <f aca="false">IF(D71="","not stated",IF(D71&lt;6,"&lt;6",IF(D71&lt;8,"6-7",IF(D71&lt;11,"8-10","11+"))))</f>
        <v>not stated</v>
      </c>
      <c r="F71" s="15" t="s">
        <v>79</v>
      </c>
      <c r="G71" s="5" t="s">
        <v>310</v>
      </c>
      <c r="H71" s="5" t="str">
        <f aca="false">IF(LEFT(G71,4)="2026","2026","2024-25")</f>
        <v>2024-25</v>
      </c>
      <c r="I71" s="5" t="s">
        <v>224</v>
      </c>
      <c r="J71" s="16" t="s">
        <v>315</v>
      </c>
      <c r="K71" s="5" t="str">
        <f aca="false">IF(ISNUMBER(L71),IF(L71&gt;0,"Yes","No"),"Unclear")</f>
        <v>Yes</v>
      </c>
      <c r="L71" s="5" t="n">
        <v>1</v>
      </c>
      <c r="M71" s="5" t="s">
        <v>124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f aca="false">IF(ISNUMBER(L71),L71+SUM(N71:V71),"")</f>
        <v>1</v>
      </c>
      <c r="X71" s="5" t="s">
        <v>86</v>
      </c>
      <c r="Y71" s="5"/>
      <c r="Z71" s="5" t="s">
        <v>86</v>
      </c>
      <c r="AA71" s="15" t="s">
        <v>226</v>
      </c>
      <c r="AB71" s="15" t="s">
        <v>316</v>
      </c>
    </row>
    <row r="72" customFormat="false" ht="15" hidden="false" customHeight="false" outlineLevel="0" collapsed="false">
      <c r="A72" s="5" t="n">
        <v>71</v>
      </c>
      <c r="B72" s="15" t="s">
        <v>317</v>
      </c>
      <c r="C72" s="15" t="s">
        <v>165</v>
      </c>
      <c r="D72" s="5"/>
      <c r="E72" s="5" t="str">
        <f aca="false">IF(D72="","not stated",IF(D72&lt;6,"&lt;6",IF(D72&lt;8,"6-7",IF(D72&lt;11,"8-10","11+"))))</f>
        <v>not stated</v>
      </c>
      <c r="F72" s="15" t="s">
        <v>153</v>
      </c>
      <c r="G72" s="5" t="s">
        <v>310</v>
      </c>
      <c r="H72" s="5" t="str">
        <f aca="false">IF(LEFT(G72,4)="2026","2026","2024-25")</f>
        <v>2024-25</v>
      </c>
      <c r="I72" s="5" t="s">
        <v>108</v>
      </c>
      <c r="J72" s="16" t="s">
        <v>318</v>
      </c>
      <c r="K72" s="5" t="str">
        <f aca="false">IF(ISNUMBER(L72),IF(L72&gt;0,"Yes","No"),"Unclear")</f>
        <v>Yes</v>
      </c>
      <c r="L72" s="5" t="n">
        <v>3</v>
      </c>
      <c r="M72" s="5" t="s">
        <v>124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1</v>
      </c>
      <c r="T72" s="5" t="n">
        <v>1</v>
      </c>
      <c r="U72" s="5" t="n">
        <v>1</v>
      </c>
      <c r="V72" s="5" t="n">
        <v>1</v>
      </c>
      <c r="W72" s="5" t="n">
        <f aca="false">IF(ISNUMBER(L72),L72+SUM(N72:V72),"")</f>
        <v>7</v>
      </c>
      <c r="X72" s="5" t="s">
        <v>85</v>
      </c>
      <c r="Y72" s="5"/>
      <c r="Z72" s="5" t="s">
        <v>86</v>
      </c>
      <c r="AA72" s="15" t="s">
        <v>84</v>
      </c>
      <c r="AB72" s="15"/>
    </row>
    <row r="73" customFormat="false" ht="35.05" hidden="false" customHeight="false" outlineLevel="0" collapsed="false">
      <c r="A73" s="5" t="n">
        <v>72</v>
      </c>
      <c r="B73" s="15" t="s">
        <v>319</v>
      </c>
      <c r="C73" s="15" t="s">
        <v>320</v>
      </c>
      <c r="D73" s="5" t="n">
        <v>11</v>
      </c>
      <c r="E73" s="5" t="str">
        <f aca="false">IF(D73="","not stated",IF(D73&lt;6,"&lt;6",IF(D73&lt;8,"6-7",IF(D73&lt;11,"8-10","11+"))))</f>
        <v>11+</v>
      </c>
      <c r="F73" s="15" t="s">
        <v>321</v>
      </c>
      <c r="G73" s="5" t="s">
        <v>310</v>
      </c>
      <c r="H73" s="5" t="str">
        <f aca="false">IF(LEFT(G73,4)="2026","2026","2024-25")</f>
        <v>2024-25</v>
      </c>
      <c r="I73" s="5" t="s">
        <v>108</v>
      </c>
      <c r="J73" s="16" t="s">
        <v>322</v>
      </c>
      <c r="K73" s="5" t="str">
        <f aca="false">IF(ISNUMBER(L73),IF(L73&gt;0,"Yes","No"),"Unclear")</f>
        <v>Yes</v>
      </c>
      <c r="L73" s="5" t="n">
        <v>2</v>
      </c>
      <c r="M73" s="5" t="s">
        <v>97</v>
      </c>
      <c r="N73" s="5" t="n">
        <v>0</v>
      </c>
      <c r="O73" s="5" t="n">
        <v>1</v>
      </c>
      <c r="P73" s="5" t="n">
        <v>1</v>
      </c>
      <c r="Q73" s="5" t="n">
        <v>0</v>
      </c>
      <c r="R73" s="5" t="n">
        <v>0</v>
      </c>
      <c r="S73" s="5" t="n">
        <v>1</v>
      </c>
      <c r="T73" s="5" t="n">
        <v>0</v>
      </c>
      <c r="U73" s="5" t="n">
        <v>0</v>
      </c>
      <c r="V73" s="5" t="n">
        <v>1</v>
      </c>
      <c r="W73" s="5" t="n">
        <f aca="false">IF(ISNUMBER(L73),L73+SUM(N73:V73),"")</f>
        <v>6</v>
      </c>
      <c r="X73" s="5" t="s">
        <v>85</v>
      </c>
      <c r="Y73" s="5"/>
      <c r="Z73" s="5" t="s">
        <v>86</v>
      </c>
      <c r="AA73" s="15" t="s">
        <v>98</v>
      </c>
      <c r="AB73" s="15" t="s">
        <v>323</v>
      </c>
    </row>
    <row r="74" customFormat="false" ht="15" hidden="false" customHeight="false" outlineLevel="0" collapsed="false">
      <c r="A74" s="5" t="n">
        <v>73</v>
      </c>
      <c r="B74" s="15" t="s">
        <v>88</v>
      </c>
      <c r="C74" s="15" t="s">
        <v>324</v>
      </c>
      <c r="D74" s="5"/>
      <c r="E74" s="5" t="str">
        <f aca="false">IF(D74="","not stated",IF(D74&lt;6,"&lt;6",IF(D74&lt;8,"6-7",IF(D74&lt;11,"8-10","11+"))))</f>
        <v>not stated</v>
      </c>
      <c r="F74" s="15" t="s">
        <v>153</v>
      </c>
      <c r="G74" s="5" t="s">
        <v>325</v>
      </c>
      <c r="H74" s="5" t="str">
        <f aca="false">IF(LEFT(G74,4)="2026","2026","2024-25")</f>
        <v>2024-25</v>
      </c>
      <c r="I74" s="5" t="s">
        <v>108</v>
      </c>
      <c r="J74" s="16" t="s">
        <v>326</v>
      </c>
      <c r="K74" s="5" t="str">
        <f aca="false">IF(ISNUMBER(L74),IF(L74&gt;0,"Yes","No"),"Unclear")</f>
        <v>Yes</v>
      </c>
      <c r="L74" s="5" t="n">
        <v>2</v>
      </c>
      <c r="M74" s="5" t="s">
        <v>124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1</v>
      </c>
      <c r="T74" s="5" t="n">
        <v>0</v>
      </c>
      <c r="U74" s="5" t="n">
        <v>0</v>
      </c>
      <c r="V74" s="5" t="n">
        <v>0</v>
      </c>
      <c r="W74" s="5" t="n">
        <f aca="false">IF(ISNUMBER(L74),L74+SUM(N74:V74),"")</f>
        <v>5</v>
      </c>
      <c r="X74" s="5" t="s">
        <v>85</v>
      </c>
      <c r="Y74" s="5"/>
      <c r="Z74" s="5" t="s">
        <v>86</v>
      </c>
      <c r="AA74" s="15" t="s">
        <v>98</v>
      </c>
      <c r="AB74" s="15"/>
    </row>
    <row r="75" customFormat="false" ht="15" hidden="false" customHeight="false" outlineLevel="0" collapsed="false">
      <c r="A75" s="5" t="n">
        <v>74</v>
      </c>
      <c r="B75" s="15" t="s">
        <v>327</v>
      </c>
      <c r="C75" s="15" t="s">
        <v>328</v>
      </c>
      <c r="D75" s="5" t="n">
        <v>5.6</v>
      </c>
      <c r="E75" s="5" t="str">
        <f aca="false">IF(D75="","not stated",IF(D75&lt;6,"&lt;6",IF(D75&lt;8,"6-7",IF(D75&lt;11,"8-10","11+"))))</f>
        <v>&lt;6</v>
      </c>
      <c r="F75" s="15" t="s">
        <v>95</v>
      </c>
      <c r="G75" s="5" t="s">
        <v>325</v>
      </c>
      <c r="H75" s="5" t="str">
        <f aca="false">IF(LEFT(G75,4)="2026","2026","2024-25")</f>
        <v>2024-25</v>
      </c>
      <c r="I75" s="5" t="s">
        <v>108</v>
      </c>
      <c r="J75" s="16" t="s">
        <v>329</v>
      </c>
      <c r="K75" s="5" t="str">
        <f aca="false">IF(ISNUMBER(L75),IF(L75&gt;0,"Yes","No"),"Unclear")</f>
        <v>Yes</v>
      </c>
      <c r="L75" s="5" t="n">
        <v>3</v>
      </c>
      <c r="M75" s="5" t="s">
        <v>97</v>
      </c>
      <c r="N75" s="5" t="n">
        <v>0</v>
      </c>
      <c r="O75" s="5" t="n">
        <v>1</v>
      </c>
      <c r="P75" s="5" t="n">
        <v>2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1</v>
      </c>
      <c r="V75" s="5" t="n">
        <v>2</v>
      </c>
      <c r="W75" s="5" t="n">
        <f aca="false">IF(ISNUMBER(L75),L75+SUM(N75:V75),"")</f>
        <v>9</v>
      </c>
      <c r="X75" s="5" t="s">
        <v>85</v>
      </c>
      <c r="Y75" s="5"/>
      <c r="Z75" s="5" t="s">
        <v>86</v>
      </c>
      <c r="AA75" s="15" t="s">
        <v>98</v>
      </c>
      <c r="AB75" s="15"/>
    </row>
    <row r="76" customFormat="false" ht="23.85" hidden="false" customHeight="false" outlineLevel="0" collapsed="false">
      <c r="A76" s="5" t="n">
        <v>75</v>
      </c>
      <c r="B76" s="15" t="s">
        <v>189</v>
      </c>
      <c r="C76" s="15" t="s">
        <v>89</v>
      </c>
      <c r="D76" s="5"/>
      <c r="E76" s="5" t="str">
        <f aca="false">IF(D76="","not stated",IF(D76&lt;6,"&lt;6",IF(D76&lt;8,"6-7",IF(D76&lt;11,"8-10","11+"))))</f>
        <v>not stated</v>
      </c>
      <c r="F76" s="15" t="s">
        <v>79</v>
      </c>
      <c r="G76" s="5" t="s">
        <v>325</v>
      </c>
      <c r="H76" s="5" t="str">
        <f aca="false">IF(LEFT(G76,4)="2026","2026","2024-25")</f>
        <v>2024-25</v>
      </c>
      <c r="I76" s="5" t="s">
        <v>224</v>
      </c>
      <c r="J76" s="16" t="s">
        <v>330</v>
      </c>
      <c r="K76" s="5" t="str">
        <f aca="false">IF(ISNUMBER(L76),IF(L76&gt;0,"Yes","No"),"Unclear")</f>
        <v>Yes</v>
      </c>
      <c r="L76" s="5" t="n">
        <v>4</v>
      </c>
      <c r="M76" s="5" t="s">
        <v>130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f aca="false">IF(ISNUMBER(L76),L76+SUM(N76:V76),"")</f>
        <v>5</v>
      </c>
      <c r="X76" s="5" t="s">
        <v>85</v>
      </c>
      <c r="Y76" s="5"/>
      <c r="Z76" s="5" t="s">
        <v>86</v>
      </c>
      <c r="AA76" s="15" t="s">
        <v>226</v>
      </c>
      <c r="AB76" s="15" t="s">
        <v>331</v>
      </c>
    </row>
    <row r="77" customFormat="false" ht="23.85" hidden="false" customHeight="false" outlineLevel="0" collapsed="false">
      <c r="A77" s="5" t="n">
        <v>76</v>
      </c>
      <c r="B77" s="15" t="s">
        <v>236</v>
      </c>
      <c r="C77" s="15" t="s">
        <v>89</v>
      </c>
      <c r="D77" s="5"/>
      <c r="E77" s="5" t="str">
        <f aca="false">IF(D77="","not stated",IF(D77&lt;6,"&lt;6",IF(D77&lt;8,"6-7",IF(D77&lt;11,"8-10","11+"))))</f>
        <v>not stated</v>
      </c>
      <c r="F77" s="15" t="s">
        <v>79</v>
      </c>
      <c r="G77" s="5" t="s">
        <v>325</v>
      </c>
      <c r="H77" s="5" t="str">
        <f aca="false">IF(LEFT(G77,4)="2026","2026","2024-25")</f>
        <v>2024-25</v>
      </c>
      <c r="I77" s="5" t="s">
        <v>224</v>
      </c>
      <c r="J77" s="16" t="s">
        <v>332</v>
      </c>
      <c r="K77" s="5" t="str">
        <f aca="false">IF(ISNUMBER(L77),IF(L77&gt;0,"Yes","No"),"Unclear")</f>
        <v>Yes</v>
      </c>
      <c r="L77" s="5" t="n">
        <v>1</v>
      </c>
      <c r="M77" s="5" t="s">
        <v>130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f aca="false">IF(ISNUMBER(L77),L77+SUM(N77:V77),"")</f>
        <v>2</v>
      </c>
      <c r="X77" s="5" t="s">
        <v>85</v>
      </c>
      <c r="Y77" s="5"/>
      <c r="Z77" s="5" t="s">
        <v>86</v>
      </c>
      <c r="AA77" s="15" t="s">
        <v>226</v>
      </c>
      <c r="AB77" s="15" t="s">
        <v>333</v>
      </c>
    </row>
    <row r="78" customFormat="false" ht="46.25" hidden="false" customHeight="false" outlineLevel="0" collapsed="false">
      <c r="A78" s="5" t="n">
        <v>77</v>
      </c>
      <c r="B78" s="15" t="s">
        <v>334</v>
      </c>
      <c r="C78" s="15" t="s">
        <v>335</v>
      </c>
      <c r="D78" s="5" t="n">
        <v>11.5</v>
      </c>
      <c r="E78" s="5" t="str">
        <f aca="false">IF(D78="","not stated",IF(D78&lt;6,"&lt;6",IF(D78&lt;8,"6-7",IF(D78&lt;11,"8-10","11+"))))</f>
        <v>11+</v>
      </c>
      <c r="F78" s="15" t="s">
        <v>153</v>
      </c>
      <c r="G78" s="5" t="s">
        <v>325</v>
      </c>
      <c r="H78" s="5" t="str">
        <f aca="false">IF(LEFT(G78,4)="2026","2026","2024-25")</f>
        <v>2024-25</v>
      </c>
      <c r="I78" s="5" t="s">
        <v>108</v>
      </c>
      <c r="J78" s="16" t="s">
        <v>336</v>
      </c>
      <c r="K78" s="5" t="str">
        <f aca="false">IF(ISNUMBER(L78),IF(L78&gt;0,"Yes","No"),"Unclear")</f>
        <v>Yes</v>
      </c>
      <c r="L78" s="5" t="n">
        <v>2</v>
      </c>
      <c r="M78" s="5" t="s">
        <v>97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1</v>
      </c>
      <c r="S78" s="5" t="n">
        <v>0</v>
      </c>
      <c r="T78" s="5" t="n">
        <v>0</v>
      </c>
      <c r="U78" s="5" t="n">
        <v>0</v>
      </c>
      <c r="V78" s="5" t="n">
        <v>2</v>
      </c>
      <c r="W78" s="5" t="n">
        <f aca="false">IF(ISNUMBER(L78),L78+SUM(N78:V78),"")</f>
        <v>6</v>
      </c>
      <c r="X78" s="5" t="s">
        <v>85</v>
      </c>
      <c r="Y78" s="5"/>
      <c r="Z78" s="5" t="s">
        <v>86</v>
      </c>
      <c r="AA78" s="15" t="s">
        <v>337</v>
      </c>
      <c r="AB78" s="15" t="s">
        <v>338</v>
      </c>
    </row>
    <row r="79" customFormat="false" ht="23.85" hidden="false" customHeight="false" outlineLevel="0" collapsed="false">
      <c r="A79" s="5" t="n">
        <v>78</v>
      </c>
      <c r="B79" s="15" t="s">
        <v>104</v>
      </c>
      <c r="C79" s="15" t="s">
        <v>89</v>
      </c>
      <c r="D79" s="5"/>
      <c r="E79" s="5" t="str">
        <f aca="false">IF(D79="","not stated",IF(D79&lt;6,"&lt;6",IF(D79&lt;8,"6-7",IF(D79&lt;11,"8-10","11+"))))</f>
        <v>not stated</v>
      </c>
      <c r="F79" s="15" t="s">
        <v>79</v>
      </c>
      <c r="G79" s="5" t="s">
        <v>339</v>
      </c>
      <c r="H79" s="5" t="str">
        <f aca="false">IF(LEFT(G79,4)="2026","2026","2024-25")</f>
        <v>2024-25</v>
      </c>
      <c r="I79" s="5" t="s">
        <v>224</v>
      </c>
      <c r="J79" s="16" t="s">
        <v>340</v>
      </c>
      <c r="K79" s="5" t="str">
        <f aca="false">IF(ISNUMBER(L79),IF(L79&gt;0,"Yes","No"),"Unclear")</f>
        <v>Yes</v>
      </c>
      <c r="L79" s="5" t="n">
        <v>1</v>
      </c>
      <c r="M79" s="5" t="s">
        <v>84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2</v>
      </c>
      <c r="W79" s="5" t="n">
        <f aca="false">IF(ISNUMBER(L79),L79+SUM(N79:V79),"")</f>
        <v>3</v>
      </c>
      <c r="X79" s="5" t="s">
        <v>85</v>
      </c>
      <c r="Y79" s="5"/>
      <c r="Z79" s="5" t="s">
        <v>86</v>
      </c>
      <c r="AA79" s="15" t="s">
        <v>98</v>
      </c>
      <c r="AB79" s="15" t="s">
        <v>341</v>
      </c>
    </row>
    <row r="80" customFormat="false" ht="15" hidden="false" customHeight="false" outlineLevel="0" collapsed="false">
      <c r="A80" s="5" t="n">
        <v>79</v>
      </c>
      <c r="B80" s="15" t="s">
        <v>88</v>
      </c>
      <c r="C80" s="15" t="s">
        <v>342</v>
      </c>
      <c r="D80" s="5" t="n">
        <v>4.75</v>
      </c>
      <c r="E80" s="5" t="str">
        <f aca="false">IF(D80="","not stated",IF(D80&lt;6,"&lt;6",IF(D80&lt;8,"6-7",IF(D80&lt;11,"8-10","11+"))))</f>
        <v>&lt;6</v>
      </c>
      <c r="F80" s="15" t="s">
        <v>153</v>
      </c>
      <c r="G80" s="5" t="s">
        <v>339</v>
      </c>
      <c r="H80" s="5" t="str">
        <f aca="false">IF(LEFT(G80,4)="2026","2026","2024-25")</f>
        <v>2024-25</v>
      </c>
      <c r="I80" s="5" t="s">
        <v>108</v>
      </c>
      <c r="J80" s="16" t="s">
        <v>343</v>
      </c>
      <c r="K80" s="5" t="str">
        <f aca="false">IF(ISNUMBER(L80),IF(L80&gt;0,"Yes","No"),"Unclear")</f>
        <v>Yes</v>
      </c>
      <c r="L80" s="5" t="n">
        <v>3</v>
      </c>
      <c r="M80" s="5" t="s">
        <v>97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1</v>
      </c>
      <c r="T80" s="5" t="n">
        <v>0</v>
      </c>
      <c r="U80" s="5" t="n">
        <v>0</v>
      </c>
      <c r="V80" s="5" t="n">
        <v>0</v>
      </c>
      <c r="W80" s="5" t="n">
        <f aca="false">IF(ISNUMBER(L80),L80+SUM(N80:V80),"")</f>
        <v>5</v>
      </c>
      <c r="X80" s="5" t="s">
        <v>85</v>
      </c>
      <c r="Y80" s="5" t="s">
        <v>344</v>
      </c>
      <c r="Z80" s="5" t="s">
        <v>86</v>
      </c>
      <c r="AA80" s="15" t="s">
        <v>115</v>
      </c>
      <c r="AB80" s="15"/>
    </row>
    <row r="81" customFormat="false" ht="15" hidden="false" customHeight="false" outlineLevel="0" collapsed="false">
      <c r="A81" s="5" t="n">
        <v>80</v>
      </c>
      <c r="B81" s="15" t="s">
        <v>94</v>
      </c>
      <c r="C81" s="15" t="s">
        <v>101</v>
      </c>
      <c r="D81" s="5"/>
      <c r="E81" s="5" t="str">
        <f aca="false">IF(D81="","not stated",IF(D81&lt;6,"&lt;6",IF(D81&lt;8,"6-7",IF(D81&lt;11,"8-10","11+"))))</f>
        <v>not stated</v>
      </c>
      <c r="F81" s="15" t="s">
        <v>95</v>
      </c>
      <c r="G81" s="5" t="s">
        <v>339</v>
      </c>
      <c r="H81" s="5" t="str">
        <f aca="false">IF(LEFT(G81,4)="2026","2026","2024-25")</f>
        <v>2024-25</v>
      </c>
      <c r="I81" s="5" t="s">
        <v>81</v>
      </c>
      <c r="J81" s="16" t="s">
        <v>345</v>
      </c>
      <c r="K81" s="5" t="str">
        <f aca="false">IF(ISNUMBER(L81),IF(L81&gt;0,"Yes","No"),"Unclear")</f>
        <v>Yes</v>
      </c>
      <c r="L81" s="5" t="n">
        <v>1</v>
      </c>
      <c r="M81" s="5" t="s">
        <v>124</v>
      </c>
      <c r="N81" s="5" t="n">
        <v>0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1</v>
      </c>
      <c r="U81" s="5" t="n">
        <v>0</v>
      </c>
      <c r="V81" s="5" t="n">
        <v>0</v>
      </c>
      <c r="W81" s="5" t="n">
        <f aca="false">IF(ISNUMBER(L81),L81+SUM(N81:V81),"")</f>
        <v>4</v>
      </c>
      <c r="X81" s="5" t="s">
        <v>85</v>
      </c>
      <c r="Y81" s="5"/>
      <c r="Z81" s="5" t="s">
        <v>86</v>
      </c>
      <c r="AA81" s="15" t="s">
        <v>226</v>
      </c>
      <c r="AB81" s="15" t="s">
        <v>346</v>
      </c>
    </row>
    <row r="82" customFormat="false" ht="46.25" hidden="false" customHeight="false" outlineLevel="0" collapsed="false">
      <c r="A82" s="5" t="n">
        <v>81</v>
      </c>
      <c r="B82" s="15" t="s">
        <v>347</v>
      </c>
      <c r="C82" s="15" t="s">
        <v>348</v>
      </c>
      <c r="D82" s="5" t="n">
        <v>9</v>
      </c>
      <c r="E82" s="5" t="str">
        <f aca="false">IF(D82="","not stated",IF(D82&lt;6,"&lt;6",IF(D82&lt;8,"6-7",IF(D82&lt;11,"8-10","11+"))))</f>
        <v>8-10</v>
      </c>
      <c r="F82" s="15" t="s">
        <v>349</v>
      </c>
      <c r="G82" s="5" t="s">
        <v>339</v>
      </c>
      <c r="H82" s="5" t="str">
        <f aca="false">IF(LEFT(G82,4)="2026","2026","2024-25")</f>
        <v>2024-25</v>
      </c>
      <c r="I82" s="5" t="s">
        <v>108</v>
      </c>
      <c r="J82" s="16" t="s">
        <v>350</v>
      </c>
      <c r="K82" s="5" t="str">
        <f aca="false">IF(ISNUMBER(L82),IF(L82&gt;0,"Yes","No"),"Unclear")</f>
        <v>No</v>
      </c>
      <c r="L82" s="5" t="n">
        <v>0</v>
      </c>
      <c r="M82" s="5" t="s">
        <v>141</v>
      </c>
      <c r="N82" s="5" t="n">
        <v>1</v>
      </c>
      <c r="O82" s="5" t="n">
        <v>0</v>
      </c>
      <c r="P82" s="5" t="n">
        <v>2</v>
      </c>
      <c r="Q82" s="5" t="n">
        <v>0</v>
      </c>
      <c r="R82" s="5" t="n">
        <v>0</v>
      </c>
      <c r="S82" s="5" t="n">
        <v>1</v>
      </c>
      <c r="T82" s="5" t="n">
        <v>0</v>
      </c>
      <c r="U82" s="5" t="n">
        <v>0</v>
      </c>
      <c r="V82" s="5" t="n">
        <v>2</v>
      </c>
      <c r="W82" s="5" t="n">
        <f aca="false">IF(ISNUMBER(L82),L82+SUM(N82:V82),"")</f>
        <v>6</v>
      </c>
      <c r="X82" s="5" t="s">
        <v>85</v>
      </c>
      <c r="Y82" s="5"/>
      <c r="Z82" s="5" t="s">
        <v>86</v>
      </c>
      <c r="AA82" s="15" t="s">
        <v>351</v>
      </c>
      <c r="AB82" s="15"/>
    </row>
    <row r="83" customFormat="false" ht="15" hidden="false" customHeight="false" outlineLevel="0" collapsed="false">
      <c r="A83" s="5" t="n">
        <v>82</v>
      </c>
      <c r="B83" s="15" t="s">
        <v>301</v>
      </c>
      <c r="C83" s="15" t="s">
        <v>352</v>
      </c>
      <c r="D83" s="5" t="n">
        <v>4</v>
      </c>
      <c r="E83" s="5" t="str">
        <f aca="false">IF(D83="","not stated",IF(D83&lt;6,"&lt;6",IF(D83&lt;8,"6-7",IF(D83&lt;11,"8-10","11+"))))</f>
        <v>&lt;6</v>
      </c>
      <c r="F83" s="15" t="s">
        <v>112</v>
      </c>
      <c r="G83" s="5" t="s">
        <v>339</v>
      </c>
      <c r="H83" s="5" t="str">
        <f aca="false">IF(LEFT(G83,4)="2026","2026","2024-25")</f>
        <v>2024-25</v>
      </c>
      <c r="I83" s="5" t="s">
        <v>108</v>
      </c>
      <c r="J83" s="16" t="s">
        <v>353</v>
      </c>
      <c r="K83" s="5" t="str">
        <f aca="false">IF(ISNUMBER(L83),IF(L83&gt;0,"Yes","No"),"Unclear")</f>
        <v>Yes</v>
      </c>
      <c r="L83" s="5" t="n">
        <v>3</v>
      </c>
      <c r="M83" s="5" t="s">
        <v>97</v>
      </c>
      <c r="N83" s="5" t="n">
        <v>0</v>
      </c>
      <c r="O83" s="5" t="n">
        <v>1</v>
      </c>
      <c r="P83" s="5" t="n">
        <v>0</v>
      </c>
      <c r="Q83" s="5" t="n">
        <v>0</v>
      </c>
      <c r="R83" s="5" t="n">
        <v>0</v>
      </c>
      <c r="S83" s="5" t="n">
        <v>1</v>
      </c>
      <c r="T83" s="5" t="n">
        <v>0</v>
      </c>
      <c r="U83" s="5" t="n">
        <v>1</v>
      </c>
      <c r="V83" s="5" t="n">
        <v>0</v>
      </c>
      <c r="W83" s="5" t="n">
        <f aca="false">IF(ISNUMBER(L83),L83+SUM(N83:V83),"")</f>
        <v>6</v>
      </c>
      <c r="X83" s="5" t="s">
        <v>86</v>
      </c>
      <c r="Y83" s="5"/>
      <c r="Z83" s="5" t="s">
        <v>86</v>
      </c>
      <c r="AA83" s="15" t="s">
        <v>268</v>
      </c>
      <c r="AB83" s="15"/>
    </row>
    <row r="84" customFormat="false" ht="15" hidden="false" customHeight="false" outlineLevel="0" collapsed="false">
      <c r="A84" s="5" t="n">
        <v>83</v>
      </c>
      <c r="B84" s="15" t="s">
        <v>354</v>
      </c>
      <c r="C84" s="15" t="s">
        <v>355</v>
      </c>
      <c r="D84" s="5" t="n">
        <v>4.75</v>
      </c>
      <c r="E84" s="5" t="str">
        <f aca="false">IF(D84="","not stated",IF(D84&lt;6,"&lt;6",IF(D84&lt;8,"6-7",IF(D84&lt;11,"8-10","11+"))))</f>
        <v>&lt;6</v>
      </c>
      <c r="F84" s="15" t="s">
        <v>153</v>
      </c>
      <c r="G84" s="5" t="s">
        <v>339</v>
      </c>
      <c r="H84" s="5" t="str">
        <f aca="false">IF(LEFT(G84,4)="2026","2026","2024-25")</f>
        <v>2024-25</v>
      </c>
      <c r="I84" s="5" t="s">
        <v>108</v>
      </c>
      <c r="J84" s="16" t="s">
        <v>356</v>
      </c>
      <c r="K84" s="5" t="str">
        <f aca="false">IF(ISNUMBER(L84),IF(L84&gt;0,"Yes","No"),"Unclear")</f>
        <v>Yes</v>
      </c>
      <c r="L84" s="5" t="n">
        <v>1</v>
      </c>
      <c r="M84" s="5" t="s">
        <v>97</v>
      </c>
      <c r="N84" s="5" t="n">
        <v>0</v>
      </c>
      <c r="O84" s="5" t="n">
        <v>1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  <c r="U84" s="5" t="n">
        <v>0</v>
      </c>
      <c r="V84" s="5" t="n">
        <v>1</v>
      </c>
      <c r="W84" s="5" t="n">
        <f aca="false">IF(ISNUMBER(L84),L84+SUM(N84:V84),"")</f>
        <v>5</v>
      </c>
      <c r="X84" s="5" t="s">
        <v>85</v>
      </c>
      <c r="Y84" s="5" t="s">
        <v>344</v>
      </c>
      <c r="Z84" s="5" t="s">
        <v>86</v>
      </c>
      <c r="AA84" s="15" t="s">
        <v>170</v>
      </c>
      <c r="AB84" s="15"/>
    </row>
    <row r="85" customFormat="false" ht="15" hidden="false" customHeight="false" outlineLevel="0" collapsed="false">
      <c r="A85" s="5" t="n">
        <v>84</v>
      </c>
      <c r="B85" s="15" t="s">
        <v>357</v>
      </c>
      <c r="C85" s="15" t="s">
        <v>148</v>
      </c>
      <c r="D85" s="5" t="n">
        <v>1.5</v>
      </c>
      <c r="E85" s="5" t="str">
        <f aca="false">IF(D85="","not stated",IF(D85&lt;6,"&lt;6",IF(D85&lt;8,"6-7",IF(D85&lt;11,"8-10","11+"))))</f>
        <v>&lt;6</v>
      </c>
      <c r="F85" s="15" t="s">
        <v>153</v>
      </c>
      <c r="G85" s="5" t="s">
        <v>339</v>
      </c>
      <c r="H85" s="5" t="str">
        <f aca="false">IF(LEFT(G85,4)="2026","2026","2024-25")</f>
        <v>2024-25</v>
      </c>
      <c r="I85" s="5" t="s">
        <v>108</v>
      </c>
      <c r="J85" s="16" t="s">
        <v>358</v>
      </c>
      <c r="K85" s="5" t="str">
        <f aca="false">IF(ISNUMBER(L85),IF(L85&gt;0,"Yes","No"),"Unclear")</f>
        <v>Yes</v>
      </c>
      <c r="L85" s="5" t="n">
        <v>3</v>
      </c>
      <c r="M85" s="5" t="s">
        <v>84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1</v>
      </c>
      <c r="W85" s="5" t="n">
        <f aca="false">IF(ISNUMBER(L85),L85+SUM(N85:V85),"")</f>
        <v>4</v>
      </c>
      <c r="X85" s="5" t="s">
        <v>85</v>
      </c>
      <c r="Y85" s="5"/>
      <c r="Z85" s="5" t="s">
        <v>86</v>
      </c>
      <c r="AA85" s="15" t="s">
        <v>359</v>
      </c>
      <c r="AB85" s="15"/>
    </row>
    <row r="86" customFormat="false" ht="23.85" hidden="false" customHeight="false" outlineLevel="0" collapsed="false">
      <c r="A86" s="5" t="n">
        <v>85</v>
      </c>
      <c r="B86" s="15" t="s">
        <v>263</v>
      </c>
      <c r="C86" s="15" t="s">
        <v>89</v>
      </c>
      <c r="D86" s="5"/>
      <c r="E86" s="5" t="str">
        <f aca="false">IF(D86="","not stated",IF(D86&lt;6,"&lt;6",IF(D86&lt;8,"6-7",IF(D86&lt;11,"8-10","11+"))))</f>
        <v>not stated</v>
      </c>
      <c r="F86" s="15" t="s">
        <v>79</v>
      </c>
      <c r="G86" s="5" t="s">
        <v>360</v>
      </c>
      <c r="H86" s="5" t="str">
        <f aca="false">IF(LEFT(G86,4)="2026","2026","2024-25")</f>
        <v>2024-25</v>
      </c>
      <c r="I86" s="5" t="s">
        <v>224</v>
      </c>
      <c r="J86" s="16" t="s">
        <v>361</v>
      </c>
      <c r="K86" s="5" t="str">
        <f aca="false">IF(ISNUMBER(L86),IF(L86&gt;0,"Yes","No"),"Unclear")</f>
        <v>Yes</v>
      </c>
      <c r="L86" s="5" t="n">
        <v>1</v>
      </c>
      <c r="M86" s="5" t="s">
        <v>84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  <c r="U86" s="5" t="n">
        <v>0</v>
      </c>
      <c r="V86" s="5" t="n">
        <v>0</v>
      </c>
      <c r="W86" s="5" t="n">
        <f aca="false">IF(ISNUMBER(L86),L86+SUM(N86:V86),"")</f>
        <v>2</v>
      </c>
      <c r="X86" s="5" t="s">
        <v>85</v>
      </c>
      <c r="Y86" s="5"/>
      <c r="Z86" s="5" t="s">
        <v>86</v>
      </c>
      <c r="AA86" s="15" t="s">
        <v>98</v>
      </c>
      <c r="AB86" s="15" t="s">
        <v>362</v>
      </c>
    </row>
    <row r="87" customFormat="false" ht="15" hidden="false" customHeight="false" outlineLevel="0" collapsed="false">
      <c r="A87" s="5" t="n">
        <v>86</v>
      </c>
      <c r="B87" s="15" t="s">
        <v>189</v>
      </c>
      <c r="C87" s="15" t="s">
        <v>78</v>
      </c>
      <c r="D87" s="5"/>
      <c r="E87" s="5" t="str">
        <f aca="false">IF(D87="","not stated",IF(D87&lt;6,"&lt;6",IF(D87&lt;8,"6-7",IF(D87&lt;11,"8-10","11+"))))</f>
        <v>not stated</v>
      </c>
      <c r="F87" s="15" t="s">
        <v>79</v>
      </c>
      <c r="G87" s="5" t="s">
        <v>360</v>
      </c>
      <c r="H87" s="5" t="str">
        <f aca="false">IF(LEFT(G87,4)="2026","2026","2024-25")</f>
        <v>2024-25</v>
      </c>
      <c r="I87" s="5" t="s">
        <v>81</v>
      </c>
      <c r="J87" s="16" t="s">
        <v>363</v>
      </c>
      <c r="K87" s="5" t="str">
        <f aca="false">IF(ISNUMBER(L87),IF(L87&gt;0,"Yes","No"),"Unclear")</f>
        <v>Yes</v>
      </c>
      <c r="L87" s="5" t="n">
        <v>1</v>
      </c>
      <c r="M87" s="5" t="s">
        <v>97</v>
      </c>
      <c r="N87" s="5" t="n">
        <v>0</v>
      </c>
      <c r="O87" s="5" t="n">
        <v>1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1</v>
      </c>
      <c r="W87" s="5" t="n">
        <f aca="false">IF(ISNUMBER(L87),L87+SUM(N87:V87),"")</f>
        <v>3</v>
      </c>
      <c r="X87" s="5" t="s">
        <v>85</v>
      </c>
      <c r="Y87" s="5"/>
      <c r="Z87" s="5" t="s">
        <v>86</v>
      </c>
      <c r="AA87" s="15" t="s">
        <v>98</v>
      </c>
      <c r="AB87" s="15"/>
    </row>
    <row r="88" customFormat="false" ht="15" hidden="false" customHeight="false" outlineLevel="0" collapsed="false">
      <c r="A88" s="5" t="n">
        <v>87</v>
      </c>
      <c r="B88" s="15" t="s">
        <v>189</v>
      </c>
      <c r="C88" s="15" t="s">
        <v>89</v>
      </c>
      <c r="D88" s="5"/>
      <c r="E88" s="5" t="str">
        <f aca="false">IF(D88="","not stated",IF(D88&lt;6,"&lt;6",IF(D88&lt;8,"6-7",IF(D88&lt;11,"8-10","11+"))))</f>
        <v>not stated</v>
      </c>
      <c r="F88" s="15" t="s">
        <v>79</v>
      </c>
      <c r="G88" s="5" t="s">
        <v>360</v>
      </c>
      <c r="H88" s="5" t="str">
        <f aca="false">IF(LEFT(G88,4)="2026","2026","2024-25")</f>
        <v>2024-25</v>
      </c>
      <c r="I88" s="5" t="s">
        <v>224</v>
      </c>
      <c r="J88" s="16" t="s">
        <v>364</v>
      </c>
      <c r="K88" s="5" t="str">
        <f aca="false">IF(ISNUMBER(L88),IF(L88&gt;0,"Yes","No"),"Unclear")</f>
        <v>Yes</v>
      </c>
      <c r="L88" s="5" t="n">
        <v>3</v>
      </c>
      <c r="M88" s="5" t="s">
        <v>97</v>
      </c>
      <c r="N88" s="5" t="n">
        <v>0</v>
      </c>
      <c r="O88" s="5" t="n">
        <v>0</v>
      </c>
      <c r="P88" s="5" t="n">
        <v>1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f aca="false">IF(ISNUMBER(L88),L88+SUM(N88:V88),"")</f>
        <v>4</v>
      </c>
      <c r="X88" s="5" t="s">
        <v>85</v>
      </c>
      <c r="Y88" s="5"/>
      <c r="Z88" s="5" t="s">
        <v>86</v>
      </c>
      <c r="AA88" s="15" t="s">
        <v>226</v>
      </c>
      <c r="AB88" s="15"/>
    </row>
    <row r="89" customFormat="false" ht="15" hidden="false" customHeight="false" outlineLevel="0" collapsed="false">
      <c r="A89" s="5" t="n">
        <v>88</v>
      </c>
      <c r="B89" s="15" t="s">
        <v>365</v>
      </c>
      <c r="C89" s="15" t="s">
        <v>355</v>
      </c>
      <c r="D89" s="5"/>
      <c r="E89" s="5" t="str">
        <f aca="false">IF(D89="","not stated",IF(D89&lt;6,"&lt;6",IF(D89&lt;8,"6-7",IF(D89&lt;11,"8-10","11+"))))</f>
        <v>not stated</v>
      </c>
      <c r="F89" s="15" t="s">
        <v>79</v>
      </c>
      <c r="G89" s="5" t="s">
        <v>366</v>
      </c>
      <c r="H89" s="5" t="str">
        <f aca="false">IF(LEFT(G89,4)="2026","2026","2024-25")</f>
        <v>2024-25</v>
      </c>
      <c r="I89" s="5" t="s">
        <v>108</v>
      </c>
      <c r="J89" s="16" t="s">
        <v>367</v>
      </c>
      <c r="K89" s="5" t="str">
        <f aca="false">IF(ISNUMBER(L89),IF(L89&gt;0,"Yes","No"),"Unclear")</f>
        <v>No</v>
      </c>
      <c r="L89" s="5" t="n">
        <v>0</v>
      </c>
      <c r="M89" s="5" t="s">
        <v>141</v>
      </c>
      <c r="N89" s="5" t="n">
        <v>0</v>
      </c>
      <c r="O89" s="5" t="n">
        <v>0</v>
      </c>
      <c r="P89" s="5" t="n">
        <v>2</v>
      </c>
      <c r="Q89" s="5" t="n">
        <v>0</v>
      </c>
      <c r="R89" s="5" t="n">
        <v>0</v>
      </c>
      <c r="S89" s="5" t="n">
        <v>1</v>
      </c>
      <c r="T89" s="5" t="n">
        <v>1</v>
      </c>
      <c r="U89" s="5" t="n">
        <v>1</v>
      </c>
      <c r="V89" s="5" t="n">
        <v>1</v>
      </c>
      <c r="W89" s="5" t="n">
        <f aca="false">IF(ISNUMBER(L89),L89+SUM(N89:V89),"")</f>
        <v>6</v>
      </c>
      <c r="X89" s="5" t="s">
        <v>85</v>
      </c>
      <c r="Y89" s="5"/>
      <c r="Z89" s="5" t="s">
        <v>86</v>
      </c>
      <c r="AA89" s="15" t="s">
        <v>368</v>
      </c>
      <c r="AB89" s="15"/>
    </row>
    <row r="90" customFormat="false" ht="23.85" hidden="false" customHeight="false" outlineLevel="0" collapsed="false">
      <c r="A90" s="5" t="n">
        <v>89</v>
      </c>
      <c r="B90" s="15" t="s">
        <v>369</v>
      </c>
      <c r="C90" s="15" t="s">
        <v>89</v>
      </c>
      <c r="D90" s="5"/>
      <c r="E90" s="5" t="str">
        <f aca="false">IF(D90="","not stated",IF(D90&lt;6,"&lt;6",IF(D90&lt;8,"6-7",IF(D90&lt;11,"8-10","11+"))))</f>
        <v>not stated</v>
      </c>
      <c r="F90" s="15" t="s">
        <v>79</v>
      </c>
      <c r="G90" s="5" t="s">
        <v>366</v>
      </c>
      <c r="H90" s="5" t="str">
        <f aca="false">IF(LEFT(G90,4)="2026","2026","2024-25")</f>
        <v>2024-25</v>
      </c>
      <c r="I90" s="5" t="s">
        <v>224</v>
      </c>
      <c r="J90" s="16" t="s">
        <v>370</v>
      </c>
      <c r="K90" s="5" t="str">
        <f aca="false">IF(ISNUMBER(L90),IF(L90&gt;0,"Yes","No"),"Unclear")</f>
        <v>Unclear</v>
      </c>
      <c r="L90" s="5" t="s">
        <v>83</v>
      </c>
      <c r="M90" s="5" t="s">
        <v>124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1</v>
      </c>
      <c r="T90" s="5" t="n">
        <v>0</v>
      </c>
      <c r="U90" s="5" t="n">
        <v>0</v>
      </c>
      <c r="V90" s="5" t="n">
        <v>1</v>
      </c>
      <c r="W90" s="5" t="str">
        <f aca="false">IF(ISNUMBER(L90),L90+SUM(N90:V90),"")</f>
        <v/>
      </c>
      <c r="X90" s="5" t="s">
        <v>85</v>
      </c>
      <c r="Y90" s="5"/>
      <c r="Z90" s="5" t="s">
        <v>86</v>
      </c>
      <c r="AA90" s="15" t="s">
        <v>98</v>
      </c>
      <c r="AB90" s="15" t="s">
        <v>371</v>
      </c>
    </row>
    <row r="91" customFormat="false" ht="23.85" hidden="false" customHeight="false" outlineLevel="0" collapsed="false">
      <c r="A91" s="5" t="n">
        <v>90</v>
      </c>
      <c r="B91" s="15" t="s">
        <v>236</v>
      </c>
      <c r="C91" s="15" t="s">
        <v>89</v>
      </c>
      <c r="D91" s="5"/>
      <c r="E91" s="5" t="str">
        <f aca="false">IF(D91="","not stated",IF(D91&lt;6,"&lt;6",IF(D91&lt;8,"6-7",IF(D91&lt;11,"8-10","11+"))))</f>
        <v>not stated</v>
      </c>
      <c r="F91" s="15" t="s">
        <v>79</v>
      </c>
      <c r="G91" s="5" t="s">
        <v>366</v>
      </c>
      <c r="H91" s="5" t="str">
        <f aca="false">IF(LEFT(G91,4)="2026","2026","2024-25")</f>
        <v>2024-25</v>
      </c>
      <c r="I91" s="5" t="s">
        <v>224</v>
      </c>
      <c r="J91" s="16" t="s">
        <v>372</v>
      </c>
      <c r="K91" s="5" t="str">
        <f aca="false">IF(ISNUMBER(L91),IF(L91&gt;0,"Yes","No"),"Unclear")</f>
        <v>Yes</v>
      </c>
      <c r="L91" s="5" t="n">
        <v>1</v>
      </c>
      <c r="M91" s="5" t="s">
        <v>130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f aca="false">IF(ISNUMBER(L91),L91+SUM(N91:V91),"")</f>
        <v>1</v>
      </c>
      <c r="X91" s="5" t="s">
        <v>86</v>
      </c>
      <c r="Y91" s="5"/>
      <c r="Z91" s="5" t="s">
        <v>86</v>
      </c>
      <c r="AA91" s="15" t="s">
        <v>226</v>
      </c>
      <c r="AB91" s="15" t="s">
        <v>373</v>
      </c>
    </row>
    <row r="92" customFormat="false" ht="15" hidden="false" customHeight="false" outlineLevel="0" collapsed="false">
      <c r="A92" s="5" t="n">
        <v>91</v>
      </c>
      <c r="B92" s="15" t="s">
        <v>374</v>
      </c>
      <c r="C92" s="15" t="s">
        <v>375</v>
      </c>
      <c r="D92" s="5"/>
      <c r="E92" s="5" t="str">
        <f aca="false">IF(D92="","not stated",IF(D92&lt;6,"&lt;6",IF(D92&lt;8,"6-7",IF(D92&lt;11,"8-10","11+"))))</f>
        <v>not stated</v>
      </c>
      <c r="F92" s="15" t="s">
        <v>79</v>
      </c>
      <c r="G92" s="5" t="s">
        <v>366</v>
      </c>
      <c r="H92" s="5" t="str">
        <f aca="false">IF(LEFT(G92,4)="2026","2026","2024-25")</f>
        <v>2024-25</v>
      </c>
      <c r="I92" s="5" t="s">
        <v>224</v>
      </c>
      <c r="J92" s="16" t="s">
        <v>376</v>
      </c>
      <c r="K92" s="5" t="str">
        <f aca="false">IF(ISNUMBER(L92),IF(L92&gt;0,"Yes","No"),"Unclear")</f>
        <v>Yes</v>
      </c>
      <c r="L92" s="5" t="n">
        <v>2</v>
      </c>
      <c r="M92" s="5" t="s">
        <v>84</v>
      </c>
      <c r="N92" s="5" t="n">
        <v>0</v>
      </c>
      <c r="O92" s="5" t="n">
        <v>1</v>
      </c>
      <c r="P92" s="5" t="n">
        <v>1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f aca="false">IF(ISNUMBER(L92),L92+SUM(N92:V92),"")</f>
        <v>4</v>
      </c>
      <c r="X92" s="5" t="s">
        <v>85</v>
      </c>
      <c r="Y92" s="5"/>
      <c r="Z92" s="5" t="s">
        <v>86</v>
      </c>
      <c r="AA92" s="15" t="s">
        <v>377</v>
      </c>
      <c r="AB92" s="15" t="s">
        <v>378</v>
      </c>
    </row>
    <row r="93" customFormat="false" ht="15" hidden="false" customHeight="false" outlineLevel="0" collapsed="false">
      <c r="A93" s="5" t="n">
        <v>92</v>
      </c>
      <c r="B93" s="15" t="s">
        <v>104</v>
      </c>
      <c r="C93" s="15" t="s">
        <v>218</v>
      </c>
      <c r="D93" s="5" t="n">
        <v>2.7</v>
      </c>
      <c r="E93" s="5" t="str">
        <f aca="false">IF(D93="","not stated",IF(D93&lt;6,"&lt;6",IF(D93&lt;8,"6-7",IF(D93&lt;11,"8-10","11+"))))</f>
        <v>&lt;6</v>
      </c>
      <c r="F93" s="15" t="s">
        <v>112</v>
      </c>
      <c r="G93" s="5" t="s">
        <v>379</v>
      </c>
      <c r="H93" s="5" t="str">
        <f aca="false">IF(LEFT(G93,4)="2026","2026","2024-25")</f>
        <v>2024-25</v>
      </c>
      <c r="I93" s="5" t="s">
        <v>108</v>
      </c>
      <c r="J93" s="16" t="s">
        <v>380</v>
      </c>
      <c r="K93" s="5" t="str">
        <f aca="false">IF(ISNUMBER(L93),IF(L93&gt;0,"Yes","No"),"Unclear")</f>
        <v>Yes</v>
      </c>
      <c r="L93" s="5" t="n">
        <v>1</v>
      </c>
      <c r="M93" s="5" t="s">
        <v>124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1</v>
      </c>
      <c r="T93" s="5" t="n">
        <v>0</v>
      </c>
      <c r="U93" s="5" t="n">
        <v>1</v>
      </c>
      <c r="V93" s="5" t="n">
        <v>1</v>
      </c>
      <c r="W93" s="5" t="n">
        <f aca="false">IF(ISNUMBER(L93),L93+SUM(N93:V93),"")</f>
        <v>4</v>
      </c>
      <c r="X93" s="5" t="s">
        <v>85</v>
      </c>
      <c r="Y93" s="5"/>
      <c r="Z93" s="5" t="s">
        <v>86</v>
      </c>
      <c r="AA93" s="15" t="s">
        <v>146</v>
      </c>
      <c r="AB93" s="15"/>
    </row>
    <row r="94" customFormat="false" ht="15" hidden="false" customHeight="false" outlineLevel="0" collapsed="false">
      <c r="A94" s="5" t="n">
        <v>93</v>
      </c>
      <c r="B94" s="15" t="s">
        <v>104</v>
      </c>
      <c r="C94" s="15" t="s">
        <v>89</v>
      </c>
      <c r="D94" s="5"/>
      <c r="E94" s="5" t="str">
        <f aca="false">IF(D94="","not stated",IF(D94&lt;6,"&lt;6",IF(D94&lt;8,"6-7",IF(D94&lt;11,"8-10","11+"))))</f>
        <v>not stated</v>
      </c>
      <c r="F94" s="15" t="s">
        <v>79</v>
      </c>
      <c r="G94" s="5" t="s">
        <v>379</v>
      </c>
      <c r="H94" s="5" t="str">
        <f aca="false">IF(LEFT(G94,4)="2026","2026","2024-25")</f>
        <v>2024-25</v>
      </c>
      <c r="I94" s="5" t="s">
        <v>224</v>
      </c>
      <c r="J94" s="16" t="s">
        <v>381</v>
      </c>
      <c r="K94" s="5" t="str">
        <f aca="false">IF(ISNUMBER(L94),IF(L94&gt;0,"Yes","No"),"Unclear")</f>
        <v>Yes</v>
      </c>
      <c r="L94" s="5" t="n">
        <v>1</v>
      </c>
      <c r="M94" s="5" t="s">
        <v>84</v>
      </c>
      <c r="N94" s="5" t="n">
        <v>0</v>
      </c>
      <c r="O94" s="5" t="n">
        <v>1</v>
      </c>
      <c r="P94" s="5" t="n">
        <v>1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1</v>
      </c>
      <c r="W94" s="5" t="n">
        <f aca="false">IF(ISNUMBER(L94),L94+SUM(N94:V94),"")</f>
        <v>4</v>
      </c>
      <c r="X94" s="5" t="s">
        <v>85</v>
      </c>
      <c r="Y94" s="5"/>
      <c r="Z94" s="5" t="s">
        <v>86</v>
      </c>
      <c r="AA94" s="15" t="s">
        <v>377</v>
      </c>
      <c r="AB94" s="15"/>
    </row>
    <row r="95" customFormat="false" ht="23.85" hidden="false" customHeight="false" outlineLevel="0" collapsed="false">
      <c r="A95" s="5" t="n">
        <v>94</v>
      </c>
      <c r="B95" s="15" t="s">
        <v>263</v>
      </c>
      <c r="C95" s="15" t="s">
        <v>89</v>
      </c>
      <c r="D95" s="5"/>
      <c r="E95" s="5" t="str">
        <f aca="false">IF(D95="","not stated",IF(D95&lt;6,"&lt;6",IF(D95&lt;8,"6-7",IF(D95&lt;11,"8-10","11+"))))</f>
        <v>not stated</v>
      </c>
      <c r="F95" s="15" t="s">
        <v>112</v>
      </c>
      <c r="G95" s="5" t="s">
        <v>379</v>
      </c>
      <c r="H95" s="5" t="str">
        <f aca="false">IF(LEFT(G95,4)="2026","2026","2024-25")</f>
        <v>2024-25</v>
      </c>
      <c r="I95" s="5" t="s">
        <v>108</v>
      </c>
      <c r="J95" s="16" t="s">
        <v>382</v>
      </c>
      <c r="K95" s="5" t="str">
        <f aca="false">IF(ISNUMBER(L95),IF(L95&gt;0,"Yes","No"),"Unclear")</f>
        <v>Yes</v>
      </c>
      <c r="L95" s="5" t="n">
        <v>1</v>
      </c>
      <c r="M95" s="5" t="s">
        <v>97</v>
      </c>
      <c r="N95" s="5" t="n">
        <v>0</v>
      </c>
      <c r="O95" s="5" t="n">
        <v>1</v>
      </c>
      <c r="P95" s="5" t="n">
        <v>0</v>
      </c>
      <c r="Q95" s="5" t="n">
        <v>0</v>
      </c>
      <c r="R95" s="5" t="n">
        <v>0</v>
      </c>
      <c r="S95" s="5" t="n">
        <v>1</v>
      </c>
      <c r="T95" s="5" t="n">
        <v>0</v>
      </c>
      <c r="U95" s="5" t="n">
        <v>1</v>
      </c>
      <c r="V95" s="5" t="n">
        <v>0</v>
      </c>
      <c r="W95" s="5" t="n">
        <f aca="false">IF(ISNUMBER(L95),L95+SUM(N95:V95),"")</f>
        <v>4</v>
      </c>
      <c r="X95" s="5" t="s">
        <v>86</v>
      </c>
      <c r="Y95" s="5"/>
      <c r="Z95" s="5" t="s">
        <v>86</v>
      </c>
      <c r="AA95" s="15" t="s">
        <v>383</v>
      </c>
      <c r="AB95" s="15"/>
    </row>
    <row r="96" customFormat="false" ht="23.85" hidden="false" customHeight="false" outlineLevel="0" collapsed="false">
      <c r="A96" s="5" t="n">
        <v>95</v>
      </c>
      <c r="B96" s="15" t="s">
        <v>384</v>
      </c>
      <c r="C96" s="15" t="s">
        <v>78</v>
      </c>
      <c r="D96" s="5" t="n">
        <v>6.5</v>
      </c>
      <c r="E96" s="5" t="str">
        <f aca="false">IF(D96="","not stated",IF(D96&lt;6,"&lt;6",IF(D96&lt;8,"6-7",IF(D96&lt;11,"8-10","11+"))))</f>
        <v>6-7</v>
      </c>
      <c r="F96" s="15" t="s">
        <v>112</v>
      </c>
      <c r="G96" s="5" t="s">
        <v>379</v>
      </c>
      <c r="H96" s="5" t="str">
        <f aca="false">IF(LEFT(G96,4)="2026","2026","2024-25")</f>
        <v>2024-25</v>
      </c>
      <c r="I96" s="5" t="s">
        <v>108</v>
      </c>
      <c r="J96" s="16" t="s">
        <v>385</v>
      </c>
      <c r="K96" s="5" t="str">
        <f aca="false">IF(ISNUMBER(L96),IF(L96&gt;0,"Yes","No"),"Unclear")</f>
        <v>Yes</v>
      </c>
      <c r="L96" s="5" t="n">
        <v>1</v>
      </c>
      <c r="M96" s="5" t="s">
        <v>97</v>
      </c>
      <c r="N96" s="5" t="n">
        <v>0</v>
      </c>
      <c r="O96" s="5" t="n">
        <v>1</v>
      </c>
      <c r="P96" s="5" t="n">
        <v>1</v>
      </c>
      <c r="Q96" s="5" t="n">
        <v>0</v>
      </c>
      <c r="R96" s="5" t="n">
        <v>0</v>
      </c>
      <c r="S96" s="5" t="n">
        <v>1</v>
      </c>
      <c r="T96" s="5" t="n">
        <v>0</v>
      </c>
      <c r="U96" s="5" t="n">
        <v>0</v>
      </c>
      <c r="V96" s="5" t="n">
        <v>1</v>
      </c>
      <c r="W96" s="5" t="n">
        <f aca="false">IF(ISNUMBER(L96),L96+SUM(N96:V96),"")</f>
        <v>5</v>
      </c>
      <c r="X96" s="5" t="s">
        <v>85</v>
      </c>
      <c r="Y96" s="5"/>
      <c r="Z96" s="5" t="s">
        <v>86</v>
      </c>
      <c r="AA96" s="15" t="s">
        <v>98</v>
      </c>
      <c r="AB96" s="15"/>
    </row>
    <row r="97" customFormat="false" ht="15" hidden="false" customHeight="false" outlineLevel="0" collapsed="false">
      <c r="A97" s="5" t="n">
        <v>96</v>
      </c>
      <c r="B97" s="15" t="s">
        <v>88</v>
      </c>
      <c r="C97" s="15" t="s">
        <v>324</v>
      </c>
      <c r="D97" s="5" t="n">
        <v>7</v>
      </c>
      <c r="E97" s="5" t="str">
        <f aca="false">IF(D97="","not stated",IF(D97&lt;6,"&lt;6",IF(D97&lt;8,"6-7",IF(D97&lt;11,"8-10","11+"))))</f>
        <v>6-7</v>
      </c>
      <c r="F97" s="15" t="s">
        <v>112</v>
      </c>
      <c r="G97" s="5" t="s">
        <v>386</v>
      </c>
      <c r="H97" s="5" t="str">
        <f aca="false">IF(LEFT(G97,4)="2026","2026","2024-25")</f>
        <v>2024-25</v>
      </c>
      <c r="I97" s="5" t="s">
        <v>108</v>
      </c>
      <c r="J97" s="16" t="s">
        <v>387</v>
      </c>
      <c r="K97" s="5" t="str">
        <f aca="false">IF(ISNUMBER(L97),IF(L97&gt;0,"Yes","No"),"Unclear")</f>
        <v>Yes</v>
      </c>
      <c r="L97" s="5" t="n">
        <v>2</v>
      </c>
      <c r="M97" s="5" t="s">
        <v>84</v>
      </c>
      <c r="N97" s="5" t="n">
        <v>0</v>
      </c>
      <c r="O97" s="5" t="n">
        <v>1</v>
      </c>
      <c r="P97" s="5" t="n">
        <v>1</v>
      </c>
      <c r="Q97" s="5" t="n">
        <v>0</v>
      </c>
      <c r="R97" s="5" t="n">
        <v>0</v>
      </c>
      <c r="S97" s="5" t="n">
        <v>1</v>
      </c>
      <c r="T97" s="5" t="n">
        <v>0</v>
      </c>
      <c r="U97" s="5" t="n">
        <v>0</v>
      </c>
      <c r="V97" s="5" t="n">
        <v>1</v>
      </c>
      <c r="W97" s="5" t="n">
        <f aca="false">IF(ISNUMBER(L97),L97+SUM(N97:V97),"")</f>
        <v>6</v>
      </c>
      <c r="X97" s="5" t="s">
        <v>85</v>
      </c>
      <c r="Y97" s="5"/>
      <c r="Z97" s="5" t="s">
        <v>86</v>
      </c>
      <c r="AA97" s="15" t="s">
        <v>98</v>
      </c>
      <c r="AB97" s="15"/>
    </row>
    <row r="98" customFormat="false" ht="23.85" hidden="false" customHeight="false" outlineLevel="0" collapsed="false">
      <c r="A98" s="5" t="n">
        <v>97</v>
      </c>
      <c r="B98" s="15" t="s">
        <v>287</v>
      </c>
      <c r="C98" s="15" t="s">
        <v>174</v>
      </c>
      <c r="D98" s="5" t="n">
        <v>4.5</v>
      </c>
      <c r="E98" s="5" t="str">
        <f aca="false">IF(D98="","not stated",IF(D98&lt;6,"&lt;6",IF(D98&lt;8,"6-7",IF(D98&lt;11,"8-10","11+"))))</f>
        <v>&lt;6</v>
      </c>
      <c r="F98" s="15" t="s">
        <v>112</v>
      </c>
      <c r="G98" s="5" t="s">
        <v>386</v>
      </c>
      <c r="H98" s="5" t="str">
        <f aca="false">IF(LEFT(G98,4)="2026","2026","2024-25")</f>
        <v>2024-25</v>
      </c>
      <c r="I98" s="5" t="s">
        <v>108</v>
      </c>
      <c r="J98" s="16" t="s">
        <v>388</v>
      </c>
      <c r="K98" s="5" t="str">
        <f aca="false">IF(ISNUMBER(L98),IF(L98&gt;0,"Yes","No"),"Unclear")</f>
        <v>Yes</v>
      </c>
      <c r="L98" s="5" t="n">
        <v>1</v>
      </c>
      <c r="M98" s="5" t="s">
        <v>97</v>
      </c>
      <c r="N98" s="5" t="n">
        <v>0</v>
      </c>
      <c r="O98" s="5" t="n">
        <v>0</v>
      </c>
      <c r="P98" s="5" t="n">
        <v>1</v>
      </c>
      <c r="Q98" s="5" t="n">
        <v>0</v>
      </c>
      <c r="R98" s="5" t="n">
        <v>0</v>
      </c>
      <c r="S98" s="5" t="n">
        <v>1</v>
      </c>
      <c r="T98" s="5" t="n">
        <v>1</v>
      </c>
      <c r="U98" s="5" t="n">
        <v>1</v>
      </c>
      <c r="V98" s="5" t="n">
        <v>1</v>
      </c>
      <c r="W98" s="5" t="n">
        <f aca="false">IF(ISNUMBER(L98),L98+SUM(N98:V98),"")</f>
        <v>6</v>
      </c>
      <c r="X98" s="5" t="s">
        <v>85</v>
      </c>
      <c r="Y98" s="5"/>
      <c r="Z98" s="5" t="s">
        <v>86</v>
      </c>
      <c r="AA98" s="15" t="s">
        <v>389</v>
      </c>
      <c r="AB98" s="15"/>
    </row>
    <row r="99" customFormat="false" ht="15" hidden="false" customHeight="false" outlineLevel="0" collapsed="false">
      <c r="A99" s="5" t="n">
        <v>98</v>
      </c>
      <c r="B99" s="15" t="s">
        <v>287</v>
      </c>
      <c r="C99" s="15" t="s">
        <v>152</v>
      </c>
      <c r="D99" s="5" t="n">
        <v>5.2</v>
      </c>
      <c r="E99" s="5" t="str">
        <f aca="false">IF(D99="","not stated",IF(D99&lt;6,"&lt;6",IF(D99&lt;8,"6-7",IF(D99&lt;11,"8-10","11+"))))</f>
        <v>&lt;6</v>
      </c>
      <c r="F99" s="15" t="s">
        <v>79</v>
      </c>
      <c r="G99" s="5" t="s">
        <v>386</v>
      </c>
      <c r="H99" s="5" t="str">
        <f aca="false">IF(LEFT(G99,4)="2026","2026","2024-25")</f>
        <v>2024-25</v>
      </c>
      <c r="I99" s="5" t="s">
        <v>108</v>
      </c>
      <c r="J99" s="16" t="s">
        <v>390</v>
      </c>
      <c r="K99" s="5" t="str">
        <f aca="false">IF(ISNUMBER(L99),IF(L99&gt;0,"Yes","No"),"Unclear")</f>
        <v>Yes</v>
      </c>
      <c r="L99" s="5" t="n">
        <v>2</v>
      </c>
      <c r="M99" s="5" t="s">
        <v>97</v>
      </c>
      <c r="N99" s="5" t="n">
        <v>0</v>
      </c>
      <c r="O99" s="5" t="n">
        <v>0</v>
      </c>
      <c r="P99" s="5" t="n">
        <v>1</v>
      </c>
      <c r="Q99" s="5" t="n">
        <v>0</v>
      </c>
      <c r="R99" s="5" t="n">
        <v>0</v>
      </c>
      <c r="S99" s="5" t="n">
        <v>1</v>
      </c>
      <c r="T99" s="5" t="n">
        <v>1</v>
      </c>
      <c r="U99" s="5" t="n">
        <v>0</v>
      </c>
      <c r="V99" s="5" t="n">
        <v>1</v>
      </c>
      <c r="W99" s="5" t="n">
        <f aca="false">IF(ISNUMBER(L99),L99+SUM(N99:V99),"")</f>
        <v>6</v>
      </c>
      <c r="X99" s="5" t="s">
        <v>85</v>
      </c>
      <c r="Y99" s="5"/>
      <c r="Z99" s="5" t="s">
        <v>86</v>
      </c>
      <c r="AA99" s="15" t="s">
        <v>146</v>
      </c>
      <c r="AB99" s="15"/>
    </row>
    <row r="100" customFormat="false" ht="15" hidden="false" customHeight="false" outlineLevel="0" collapsed="false">
      <c r="A100" s="5" t="n">
        <v>99</v>
      </c>
      <c r="B100" s="15" t="s">
        <v>289</v>
      </c>
      <c r="C100" s="15" t="s">
        <v>89</v>
      </c>
      <c r="D100" s="5"/>
      <c r="E100" s="5" t="str">
        <f aca="false">IF(D100="","not stated",IF(D100&lt;6,"&lt;6",IF(D100&lt;8,"6-7",IF(D100&lt;11,"8-10","11+"))))</f>
        <v>not stated</v>
      </c>
      <c r="F100" s="15" t="s">
        <v>79</v>
      </c>
      <c r="G100" s="5" t="s">
        <v>386</v>
      </c>
      <c r="H100" s="5" t="str">
        <f aca="false">IF(LEFT(G100,4)="2026","2026","2024-25")</f>
        <v>2024-25</v>
      </c>
      <c r="I100" s="5" t="s">
        <v>108</v>
      </c>
      <c r="J100" s="16" t="s">
        <v>391</v>
      </c>
      <c r="K100" s="5" t="str">
        <f aca="false">IF(ISNUMBER(L100),IF(L100&gt;0,"Yes","No"),"Unclear")</f>
        <v>Yes</v>
      </c>
      <c r="L100" s="5" t="n">
        <v>2</v>
      </c>
      <c r="M100" s="5" t="s">
        <v>97</v>
      </c>
      <c r="N100" s="5" t="n">
        <v>1</v>
      </c>
      <c r="O100" s="5" t="n">
        <v>1</v>
      </c>
      <c r="P100" s="5" t="n">
        <v>1</v>
      </c>
      <c r="Q100" s="5" t="n">
        <v>1</v>
      </c>
      <c r="R100" s="5" t="n">
        <v>1</v>
      </c>
      <c r="S100" s="5" t="n">
        <v>1</v>
      </c>
      <c r="T100" s="5" t="n">
        <v>0</v>
      </c>
      <c r="U100" s="5" t="n">
        <v>0</v>
      </c>
      <c r="V100" s="5" t="n">
        <v>1</v>
      </c>
      <c r="W100" s="5" t="n">
        <f aca="false">IF(ISNUMBER(L100),L100+SUM(N100:V100),"")</f>
        <v>9</v>
      </c>
      <c r="X100" s="5" t="s">
        <v>85</v>
      </c>
      <c r="Y100" s="5"/>
      <c r="Z100" s="5" t="s">
        <v>86</v>
      </c>
      <c r="AA100" s="15" t="s">
        <v>84</v>
      </c>
      <c r="AB100" s="15"/>
    </row>
    <row r="101" customFormat="false" ht="23.85" hidden="false" customHeight="false" outlineLevel="0" collapsed="false">
      <c r="A101" s="5" t="n">
        <v>100</v>
      </c>
      <c r="B101" s="15" t="s">
        <v>104</v>
      </c>
      <c r="C101" s="15" t="s">
        <v>89</v>
      </c>
      <c r="D101" s="5"/>
      <c r="E101" s="5" t="str">
        <f aca="false">IF(D101="","not stated",IF(D101&lt;6,"&lt;6",IF(D101&lt;8,"6-7",IF(D101&lt;11,"8-10","11+"))))</f>
        <v>not stated</v>
      </c>
      <c r="F101" s="15" t="s">
        <v>79</v>
      </c>
      <c r="G101" s="5" t="s">
        <v>392</v>
      </c>
      <c r="H101" s="5" t="str">
        <f aca="false">IF(LEFT(G101,4)="2026","2026","2024-25")</f>
        <v>2024-25</v>
      </c>
      <c r="I101" s="5" t="s">
        <v>224</v>
      </c>
      <c r="J101" s="16" t="s">
        <v>393</v>
      </c>
      <c r="K101" s="5" t="str">
        <f aca="false">IF(ISNUMBER(L101),IF(L101&gt;0,"Yes","No"),"Unclear")</f>
        <v>Yes</v>
      </c>
      <c r="L101" s="5" t="n">
        <v>1</v>
      </c>
      <c r="M101" s="5" t="s">
        <v>124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f aca="false">IF(ISNUMBER(L101),L101+SUM(N101:V101),"")</f>
        <v>1</v>
      </c>
      <c r="X101" s="5" t="s">
        <v>86</v>
      </c>
      <c r="Y101" s="5"/>
      <c r="Z101" s="5" t="s">
        <v>86</v>
      </c>
      <c r="AA101" s="15" t="s">
        <v>226</v>
      </c>
      <c r="AB101" s="15" t="s">
        <v>394</v>
      </c>
    </row>
    <row r="102" customFormat="false" ht="15" hidden="false" customHeight="false" outlineLevel="0" collapsed="false">
      <c r="A102" s="5" t="n">
        <v>101</v>
      </c>
      <c r="B102" s="15" t="s">
        <v>126</v>
      </c>
      <c r="C102" s="15" t="s">
        <v>395</v>
      </c>
      <c r="D102" s="5" t="n">
        <v>7</v>
      </c>
      <c r="E102" s="5" t="str">
        <f aca="false">IF(D102="","not stated",IF(D102&lt;6,"&lt;6",IF(D102&lt;8,"6-7",IF(D102&lt;11,"8-10","11+"))))</f>
        <v>6-7</v>
      </c>
      <c r="F102" s="15" t="s">
        <v>79</v>
      </c>
      <c r="G102" s="5" t="s">
        <v>392</v>
      </c>
      <c r="H102" s="5" t="str">
        <f aca="false">IF(LEFT(G102,4)="2026","2026","2024-25")</f>
        <v>2024-25</v>
      </c>
      <c r="I102" s="5" t="s">
        <v>108</v>
      </c>
      <c r="J102" s="16" t="s">
        <v>396</v>
      </c>
      <c r="K102" s="5" t="str">
        <f aca="false">IF(ISNUMBER(L102),IF(L102&gt;0,"Yes","No"),"Unclear")</f>
        <v>Yes</v>
      </c>
      <c r="L102" s="5" t="n">
        <v>1</v>
      </c>
      <c r="M102" s="5" t="s">
        <v>97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f aca="false">IF(ISNUMBER(L102),L102+SUM(N102:V102),"")</f>
        <v>3</v>
      </c>
      <c r="X102" s="5" t="s">
        <v>85</v>
      </c>
      <c r="Y102" s="5"/>
      <c r="Z102" s="5" t="s">
        <v>86</v>
      </c>
      <c r="AA102" s="15" t="s">
        <v>272</v>
      </c>
      <c r="AB102" s="15"/>
    </row>
    <row r="103" customFormat="false" ht="15" hidden="false" customHeight="false" outlineLevel="0" collapsed="false">
      <c r="A103" s="5" t="n">
        <v>102</v>
      </c>
      <c r="B103" s="15" t="s">
        <v>397</v>
      </c>
      <c r="C103" s="15" t="s">
        <v>152</v>
      </c>
      <c r="D103" s="5"/>
      <c r="E103" s="5" t="str">
        <f aca="false">IF(D103="","not stated",IF(D103&lt;6,"&lt;6",IF(D103&lt;8,"6-7",IF(D103&lt;11,"8-10","11+"))))</f>
        <v>not stated</v>
      </c>
      <c r="F103" s="15" t="s">
        <v>398</v>
      </c>
      <c r="G103" s="5" t="s">
        <v>392</v>
      </c>
      <c r="H103" s="5" t="str">
        <f aca="false">IF(LEFT(G103,4)="2026","2026","2024-25")</f>
        <v>2024-25</v>
      </c>
      <c r="I103" s="5" t="s">
        <v>108</v>
      </c>
      <c r="J103" s="16" t="s">
        <v>399</v>
      </c>
      <c r="K103" s="5" t="str">
        <f aca="false">IF(ISNUMBER(L103),IF(L103&gt;0,"Yes","No"),"Unclear")</f>
        <v>No</v>
      </c>
      <c r="L103" s="5" t="n">
        <v>0</v>
      </c>
      <c r="M103" s="5" t="s">
        <v>141</v>
      </c>
      <c r="N103" s="5" t="n">
        <v>1</v>
      </c>
      <c r="O103" s="5" t="n">
        <v>1</v>
      </c>
      <c r="P103" s="5" t="n">
        <v>1</v>
      </c>
      <c r="Q103" s="5" t="n">
        <v>0</v>
      </c>
      <c r="R103" s="5" t="n">
        <v>0</v>
      </c>
      <c r="S103" s="5" t="n">
        <v>1</v>
      </c>
      <c r="T103" s="5" t="n">
        <v>0</v>
      </c>
      <c r="U103" s="5" t="n">
        <v>0</v>
      </c>
      <c r="V103" s="5" t="n">
        <v>1</v>
      </c>
      <c r="W103" s="5" t="n">
        <f aca="false">IF(ISNUMBER(L103),L103+SUM(N103:V103),"")</f>
        <v>5</v>
      </c>
      <c r="X103" s="5" t="s">
        <v>85</v>
      </c>
      <c r="Y103" s="5"/>
      <c r="Z103" s="5" t="s">
        <v>86</v>
      </c>
      <c r="AA103" s="15" t="s">
        <v>400</v>
      </c>
      <c r="AB103" s="15"/>
    </row>
    <row r="104" customFormat="false" ht="15" hidden="false" customHeight="false" outlineLevel="0" collapsed="false">
      <c r="A104" s="5" t="n">
        <v>103</v>
      </c>
      <c r="B104" s="15" t="s">
        <v>94</v>
      </c>
      <c r="C104" s="15" t="s">
        <v>78</v>
      </c>
      <c r="D104" s="5" t="n">
        <v>5</v>
      </c>
      <c r="E104" s="5" t="str">
        <f aca="false">IF(D104="","not stated",IF(D104&lt;6,"&lt;6",IF(D104&lt;8,"6-7",IF(D104&lt;11,"8-10","11+"))))</f>
        <v>&lt;6</v>
      </c>
      <c r="F104" s="15" t="s">
        <v>95</v>
      </c>
      <c r="G104" s="5" t="s">
        <v>401</v>
      </c>
      <c r="H104" s="5" t="str">
        <f aca="false">IF(LEFT(G104,4)="2026","2026","2024-25")</f>
        <v>2024-25</v>
      </c>
      <c r="I104" s="5" t="s">
        <v>108</v>
      </c>
      <c r="J104" s="16" t="s">
        <v>402</v>
      </c>
      <c r="K104" s="5" t="str">
        <f aca="false">IF(ISNUMBER(L104),IF(L104&gt;0,"Yes","No"),"Unclear")</f>
        <v>Yes</v>
      </c>
      <c r="L104" s="5" t="n">
        <v>3</v>
      </c>
      <c r="M104" s="5" t="s">
        <v>124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1</v>
      </c>
      <c r="T104" s="5" t="n">
        <v>0</v>
      </c>
      <c r="U104" s="5" t="n">
        <v>0</v>
      </c>
      <c r="V104" s="5" t="n">
        <v>1</v>
      </c>
      <c r="W104" s="5" t="n">
        <f aca="false">IF(ISNUMBER(L104),L104+SUM(N104:V104),"")</f>
        <v>6</v>
      </c>
      <c r="X104" s="5" t="s">
        <v>85</v>
      </c>
      <c r="Y104" s="5"/>
      <c r="Z104" s="5" t="s">
        <v>86</v>
      </c>
      <c r="AA104" s="15" t="s">
        <v>98</v>
      </c>
      <c r="AB104" s="15" t="s">
        <v>403</v>
      </c>
    </row>
    <row r="105" customFormat="false" ht="15" hidden="false" customHeight="false" outlineLevel="0" collapsed="false">
      <c r="A105" s="5" t="n">
        <v>104</v>
      </c>
      <c r="B105" s="15" t="s">
        <v>404</v>
      </c>
      <c r="C105" s="15" t="s">
        <v>405</v>
      </c>
      <c r="D105" s="5" t="n">
        <v>5.5</v>
      </c>
      <c r="E105" s="5" t="str">
        <f aca="false">IF(D105="","not stated",IF(D105&lt;6,"&lt;6",IF(D105&lt;8,"6-7",IF(D105&lt;11,"8-10","11+"))))</f>
        <v>&lt;6</v>
      </c>
      <c r="F105" s="15" t="s">
        <v>284</v>
      </c>
      <c r="G105" s="5" t="s">
        <v>401</v>
      </c>
      <c r="H105" s="5" t="str">
        <f aca="false">IF(LEFT(G105,4)="2026","2026","2024-25")</f>
        <v>2024-25</v>
      </c>
      <c r="I105" s="5" t="s">
        <v>108</v>
      </c>
      <c r="J105" s="16" t="s">
        <v>406</v>
      </c>
      <c r="K105" s="5" t="str">
        <f aca="false">IF(ISNUMBER(L105),IF(L105&gt;0,"Yes","No"),"Unclear")</f>
        <v>Yes</v>
      </c>
      <c r="L105" s="5" t="n">
        <v>3</v>
      </c>
      <c r="M105" s="5" t="s">
        <v>124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1</v>
      </c>
      <c r="T105" s="5" t="n">
        <v>0</v>
      </c>
      <c r="U105" s="5" t="n">
        <v>0</v>
      </c>
      <c r="V105" s="5" t="n">
        <v>1</v>
      </c>
      <c r="W105" s="5" t="n">
        <f aca="false">IF(ISNUMBER(L105),L105+SUM(N105:V105),"")</f>
        <v>6</v>
      </c>
      <c r="X105" s="5" t="s">
        <v>85</v>
      </c>
      <c r="Y105" s="5"/>
      <c r="Z105" s="5" t="s">
        <v>86</v>
      </c>
      <c r="AA105" s="15" t="s">
        <v>146</v>
      </c>
      <c r="AB105" s="15"/>
    </row>
    <row r="106" customFormat="false" ht="15" hidden="false" customHeight="false" outlineLevel="0" collapsed="false">
      <c r="A106" s="5" t="n">
        <v>105</v>
      </c>
      <c r="B106" s="15" t="s">
        <v>236</v>
      </c>
      <c r="C106" s="15" t="s">
        <v>89</v>
      </c>
      <c r="D106" s="5"/>
      <c r="E106" s="5" t="str">
        <f aca="false">IF(D106="","not stated",IF(D106&lt;6,"&lt;6",IF(D106&lt;8,"6-7",IF(D106&lt;11,"8-10","11+"))))</f>
        <v>not stated</v>
      </c>
      <c r="F106" s="15" t="s">
        <v>79</v>
      </c>
      <c r="G106" s="5" t="s">
        <v>401</v>
      </c>
      <c r="H106" s="5" t="str">
        <f aca="false">IF(LEFT(G106,4)="2026","2026","2024-25")</f>
        <v>2024-25</v>
      </c>
      <c r="I106" s="5" t="s">
        <v>224</v>
      </c>
      <c r="J106" s="16" t="s">
        <v>407</v>
      </c>
      <c r="K106" s="5" t="str">
        <f aca="false">IF(ISNUMBER(L106),IF(L106&gt;0,"Yes","No"),"Unclear")</f>
        <v>Yes</v>
      </c>
      <c r="L106" s="5" t="n">
        <v>1</v>
      </c>
      <c r="M106" s="5" t="s">
        <v>84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f aca="false">IF(ISNUMBER(L106),L106+SUM(N106:V106),"")</f>
        <v>1</v>
      </c>
      <c r="X106" s="5" t="s">
        <v>85</v>
      </c>
      <c r="Y106" s="5"/>
      <c r="Z106" s="5" t="s">
        <v>86</v>
      </c>
      <c r="AA106" s="15" t="s">
        <v>377</v>
      </c>
      <c r="AB106" s="15" t="s">
        <v>408</v>
      </c>
    </row>
    <row r="107" customFormat="false" ht="15" hidden="false" customHeight="false" outlineLevel="0" collapsed="false">
      <c r="A107" s="5" t="n">
        <v>106</v>
      </c>
      <c r="B107" s="15" t="s">
        <v>374</v>
      </c>
      <c r="C107" s="15" t="s">
        <v>375</v>
      </c>
      <c r="D107" s="5"/>
      <c r="E107" s="5" t="str">
        <f aca="false">IF(D107="","not stated",IF(D107&lt;6,"&lt;6",IF(D107&lt;8,"6-7",IF(D107&lt;11,"8-10","11+"))))</f>
        <v>not stated</v>
      </c>
      <c r="F107" s="15" t="s">
        <v>79</v>
      </c>
      <c r="G107" s="5" t="s">
        <v>401</v>
      </c>
      <c r="H107" s="5" t="str">
        <f aca="false">IF(LEFT(G107,4)="2026","2026","2024-25")</f>
        <v>2024-25</v>
      </c>
      <c r="I107" s="5" t="s">
        <v>224</v>
      </c>
      <c r="J107" s="16" t="s">
        <v>409</v>
      </c>
      <c r="K107" s="5" t="str">
        <f aca="false">IF(ISNUMBER(L107),IF(L107&gt;0,"Yes","No"),"Unclear")</f>
        <v>Yes</v>
      </c>
      <c r="L107" s="5" t="n">
        <v>1</v>
      </c>
      <c r="M107" s="5" t="s">
        <v>84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1</v>
      </c>
      <c r="W107" s="5" t="n">
        <f aca="false">IF(ISNUMBER(L107),L107+SUM(N107:V107),"")</f>
        <v>2</v>
      </c>
      <c r="X107" s="5" t="s">
        <v>86</v>
      </c>
      <c r="Y107" s="5"/>
      <c r="Z107" s="5" t="s">
        <v>86</v>
      </c>
      <c r="AA107" s="15" t="s">
        <v>226</v>
      </c>
      <c r="AB107" s="15" t="s">
        <v>410</v>
      </c>
    </row>
    <row r="108" customFormat="false" ht="15" hidden="false" customHeight="false" outlineLevel="0" collapsed="false">
      <c r="A108" s="5" t="n">
        <v>107</v>
      </c>
      <c r="B108" s="15" t="s">
        <v>411</v>
      </c>
      <c r="C108" s="15" t="s">
        <v>148</v>
      </c>
      <c r="D108" s="5"/>
      <c r="E108" s="5" t="str">
        <f aca="false">IF(D108="","not stated",IF(D108&lt;6,"&lt;6",IF(D108&lt;8,"6-7",IF(D108&lt;11,"8-10","11+"))))</f>
        <v>not stated</v>
      </c>
      <c r="F108" s="15" t="s">
        <v>112</v>
      </c>
      <c r="G108" s="5" t="s">
        <v>412</v>
      </c>
      <c r="H108" s="5" t="str">
        <f aca="false">IF(LEFT(G108,4)="2026","2026","2024-25")</f>
        <v>2024-25</v>
      </c>
      <c r="I108" s="5" t="s">
        <v>108</v>
      </c>
      <c r="J108" s="16" t="s">
        <v>413</v>
      </c>
      <c r="K108" s="5" t="str">
        <f aca="false">IF(ISNUMBER(L108),IF(L108&gt;0,"Yes","No"),"Unclear")</f>
        <v>Yes</v>
      </c>
      <c r="L108" s="5" t="n">
        <v>1</v>
      </c>
      <c r="M108" s="5" t="s">
        <v>84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f aca="false">IF(ISNUMBER(L108),L108+SUM(N108:V108),"")</f>
        <v>2</v>
      </c>
      <c r="X108" s="5" t="s">
        <v>86</v>
      </c>
      <c r="Y108" s="5"/>
      <c r="Z108" s="5" t="s">
        <v>86</v>
      </c>
      <c r="AA108" s="15" t="s">
        <v>414</v>
      </c>
      <c r="AB108" s="15"/>
    </row>
  </sheetData>
  <hyperlinks>
    <hyperlink ref="J2" r:id="rId1" location="SMTS-2026-08-04" display="https://www.glassdoor.com/Interview/Nutanix-Interview-Questions-E429159.htm#SMTS-2026-08-04"/>
    <hyperlink ref="J3" r:id="rId2" location="2026-06-02" display="https://www.glassdoor.co.in/Interview/Uber-Senior-Software-Engineer-Interview-Questions-EI_IE575263.0,4_KO5,29.htm#2026-06-02"/>
    <hyperlink ref="J4" r:id="rId3" display="https://www.glassdoor.com.au/Interview/Salesforce-Interview-E11159-RVW104386922.htm"/>
    <hyperlink ref="J5" r:id="rId4" display="https://www.glassdoor.com/Interview/Razorpay-Interview-E1146550-RVW104471826.htm"/>
    <hyperlink ref="J6" r:id="rId5" display="https://leetcode.com/discuss/post/8299285/walmart-ssein4-interview-experience-apri-te0v/"/>
    <hyperlink ref="J7" r:id="rId6" display="https://leetcode.com/discuss/post/7774527/walmart-sde-3-interview-experience-march-cvri/"/>
    <hyperlink ref="J8" r:id="rId7" display="https://leetcode.com/discuss/post/7772003/mongodb-swe3-gurgaon-interview-selected-ivulh/"/>
    <hyperlink ref="J9" r:id="rId8" display="https://leetcode.com/discuss/post/7840794/salesforce-smts-hyderabad-march-2026-off-0fi6/"/>
    <hyperlink ref="J10" r:id="rId9" display="https://leetcode.com/discuss/post/7654415/"/>
    <hyperlink ref="J11" r:id="rId10" location="myntra" display="https://leetcode.com/discuss/post/7698154/#myntra"/>
    <hyperlink ref="J12" r:id="rId11" display="https://leetcode.com/discuss/post/7690154/"/>
    <hyperlink ref="J13" r:id="rId12" display="https://leetcode.com/discuss/post/7770543/phonepe-software-engineer-5-7-years-bang-tppy/"/>
    <hyperlink ref="J14" r:id="rId13" display="https://leetcode.com/discuss/post/7649720/paytm-interview-experience-sse-jan-2026-r44h2/"/>
    <hyperlink ref="J15" r:id="rId14" display="https://leetcode.com/discuss/post/7571535/"/>
    <hyperlink ref="J16" r:id="rId15" location="walmart" display="https://leetcode.com/discuss/post/8477884/interview-summary-of-last-6-months-micro-y7a7/#walmart"/>
    <hyperlink ref="J17" r:id="rId16" location="walmart-senior" display="https://leetcode.com/discuss/post/8428653/prep-and-interview-exp-for-seniorstaff-l-ki4x/#walmart-senior"/>
    <hyperlink ref="J18" r:id="rId17" location="walmart-staff" display="https://leetcode.com/discuss/post/8428653/prep-and-interview-exp-for-seniorstaff-l-ki4x/#walmart-staff"/>
    <hyperlink ref="J19" r:id="rId18" location="thoughtspot" display="https://leetcode.com/discuss/post/8428653/prep-and-interview-exp-for-seniorstaff-l-ki4x/#thoughtspot"/>
    <hyperlink ref="J20" r:id="rId19" location="tekion" display="https://leetcode.com/discuss/post/8477884/interview-summary-of-last-6-months-micro-y7a7/#tekion"/>
    <hyperlink ref="J21" r:id="rId20" display="https://leetcode.com/discuss/post/7823221/"/>
    <hyperlink ref="J22" r:id="rId21" location="salesforce1" display="https://leetcode.com/discuss/post/8477884/interview-summary-of-last-6-months-micro-y7a7/#salesforce1"/>
    <hyperlink ref="J23" r:id="rId22" location="salesforce2" display="https://leetcode.com/discuss/post/8477884/interview-summary-of-last-6-months-micro-y7a7/#salesforce2"/>
    <hyperlink ref="J24" r:id="rId23" location="oraclehealth" display="https://leetcode.com/discuss/post/8477884/interview-summary-of-last-6-months-micro-y7a7/#oraclehealth"/>
    <hyperlink ref="J25" r:id="rId24" location="oraclehealth" display="https://leetcode.com/discuss/post/8428653/prep-and-interview-exp-for-seniorstaff-l-ki4x/#oraclehealth"/>
    <hyperlink ref="J26" r:id="rId25" location="oraclecloud" display="https://leetcode.com/discuss/post/8477884/interview-summary-of-last-6-months-micro-y7a7/#oraclecloud"/>
    <hyperlink ref="J27" r:id="rId26" location="2026-09-01" display="https://www.glassdoor.co.in/Interview/Oracle-Senior-Member-of-Technical-Staff-Interview-Questions-EI_IE1737.0,6_KO7,39.htm#2026-09-01"/>
    <hyperlink ref="J28" r:id="rId27" location="flipkart" display="https://leetcode.com/discuss/post/8477884/interview-summary-of-last-6-months-micro-y7a7/#flipkart"/>
    <hyperlink ref="J29" r:id="rId28" location="rubrik" display="https://leetcode.com/discuss/post/8319169/#rubrik"/>
    <hyperlink ref="J30" r:id="rId29" display="https://leetcode.com/discuss/post/7446936/"/>
    <hyperlink ref="J31" r:id="rId30" display="https://leetcode.com/discuss/post/7410581/"/>
    <hyperlink ref="J32" r:id="rId31" location="omnissa" display="https://leetcode.com/discuss/post/8319169/#omnissa"/>
    <hyperlink ref="J33" r:id="rId32" display="https://leetcode.com/discuss/post/7386726/"/>
    <hyperlink ref="J34" r:id="rId33" display="https://leetcode.com/discuss/post/7384474/zeta-sde-3-bangalore-oct-2025-declined-o-715m/"/>
    <hyperlink ref="J35" r:id="rId34" location="sixt" display="https://leetcode.com/discuss/post/7253272/#sixt"/>
    <hyperlink ref="J36" r:id="rId35" location="phonepe" display="https://leetcode.com/discuss/post/7253272/#phonepe"/>
    <hyperlink ref="J37" r:id="rId36" display="https://www.jointaro.com/interviews/companies/oracle/experiences/senior-software-engineer-october-13-2025-no-offer-negative-206c52ba/"/>
    <hyperlink ref="J38" r:id="rId37" display="https://www.jointaro.com/interviews/companies/oracle/experiences/principal-software-engineer-bengaluru-karnataka-october-27-2025-accepted-offer-positive-30c4e456/"/>
    <hyperlink ref="J39" r:id="rId38" display="https://leetcode.com/discuss/post/7318007/nike-sde-3-interview-experience-by-anony-xd5y/"/>
    <hyperlink ref="J40" r:id="rId39" display="https://leetcode.com/discuss/post/7259276/"/>
    <hyperlink ref="J41" r:id="rId40" display="https://www.jointaro.com/interviews/companies/google/experiences/senior-software-engineer-bengaluru-karnataka-october-5-2025-no-offer-positive-62a5e889/"/>
    <hyperlink ref="J42" r:id="rId41" location="gs" display="https://leetcode.com/discuss/post/7253272/#gs"/>
    <hyperlink ref="J43" r:id="rId42" display="https://leetcode.com/discuss/post/7240231/flipkart-sde-3-bangalore-6-yoe-by-snkxry-zhy1/"/>
    <hyperlink ref="J44" r:id="rId43" location="expedia" display="https://leetcode.com/discuss/post/7253272/#expedia"/>
    <hyperlink ref="J45" r:id="rId44" display="https://leetcode.com/discuss/post/7333207/salesforce-lmts-india-interview-experien-bb2k/"/>
    <hyperlink ref="J46" r:id="rId45" display="https://leetcode.com/discuss/post/7360702/razorpay-lead-software-engineer-bangalor-qkqi/"/>
    <hyperlink ref="J47" r:id="rId46" display="https://leetcode.com/discuss/post/7179026/paytm-interview-experience-senior-softwa-t66r/"/>
    <hyperlink ref="J48" r:id="rId47" display="https://www.jointaro.com/interviews/companies/new-relic/experiences/senior-software-engineer-bengaluru-karnataka-september-1-2025-no-offer-negative-a6110d78/"/>
    <hyperlink ref="J49" r:id="rId48" display="https://leetcode.com/discuss/post/7496727/meesho-sde3-interview-india-got-offer-by-v59z/"/>
    <hyperlink ref="J50" r:id="rId49" location="walmart" display="https://leetcode.com/discuss/post/7185262/#walmart"/>
    <hyperlink ref="J51" r:id="rId50" location="visa1" display="https://leetcode.com/discuss/post/7185262/#visa1"/>
    <hyperlink ref="J52" r:id="rId51" location="visa2" display="https://leetcode.com/discuss/post/7185262/#visa2"/>
    <hyperlink ref="J53" r:id="rId52" display="https://www.jointaro.com/interviews/companies/uber/experiences/senior-software-engineer-bengaluru-august-1-2025-no-offer-positive-2675385c/"/>
    <hyperlink ref="J54" r:id="rId53" display="https://leetcode.com/discuss/interview-experience/7049872/"/>
    <hyperlink ref="J55" r:id="rId54" location="practo" display="https://leetcode.com/discuss/post/7185262/#practo"/>
    <hyperlink ref="J56" r:id="rId55" display="https://www.jointaro.com/interviews/companies/oracle/experiences/principal-software-engineer-india-august-1-2025-no-offer-neutral-bc8f4b35/"/>
    <hyperlink ref="J57" r:id="rId56" location="netapp" display="https://leetcode.com/discuss/post/7185262/#netapp"/>
    <hyperlink ref="J58" r:id="rId57" location="moneyforward" display="https://leetcode.com/discuss/post/7185262/#moneyforward"/>
    <hyperlink ref="J59" r:id="rId58" location="jpmc" display="https://leetcode.com/discuss/post/7185262/#jpmc"/>
    <hyperlink ref="J60" r:id="rId59" display="https://www.jointaro.com/interviews/companies/intuit/experiences/senior-software-engineer-bengaluru-august-12-2025-accepted-offer-positive-d72c7f65/"/>
    <hyperlink ref="J61" r:id="rId60" display="https://www.jointaro.com/interviews/companies/intuit/experiences/senior-software-engineer-bengaluru-august-1-2025-no-offer-negative-9449598a/"/>
    <hyperlink ref="J62" r:id="rId61" display="https://leetcode.com/discuss/post/7199425/"/>
    <hyperlink ref="J63" r:id="rId62" location="aptiv" display="https://leetcode.com/discuss/post/7185262/#aptiv"/>
    <hyperlink ref="J64" r:id="rId63" display="https://leetcode.com/discuss/interview-experience/7008972/"/>
    <hyperlink ref="J65" r:id="rId64" display="https://leetcode.com/discuss/interview-experience/6961982/"/>
    <hyperlink ref="J66" r:id="rId65" location="2026-08-14" display="https://www.glassdoor.co.in/Interview/Oracle-Senior-Member-of-Technical-Staff-Interview-Questions-EI_IE1737.0,6_KO7,39.htm#2026-08-14"/>
    <hyperlink ref="J67" r:id="rId66" display="https://www.jointaro.com/interviews/companies/oracle/experiences/principal-software-engineer-bengaluru-july-3-2025-accepted-offer-positive-6191d5b8/"/>
    <hyperlink ref="J68" r:id="rId67" display="https://leetcode.com/discuss/interview-experience/7031783/"/>
    <hyperlink ref="J69" r:id="rId68" display="https://www.jointaro.com/interviews/companies/walmart/experiences/senior-software-engineer-bengaluru-june-26-2025-no-offer-positive-767ac34d/"/>
    <hyperlink ref="J70" r:id="rId69" display="https://www.jointaro.com/interviews/companies/visa/experiences/senior-software-engineer-bengaluru-june-10-2025-no-offer-neutral-83a41939/"/>
    <hyperlink ref="J71" r:id="rId70" display="https://www.jointaro.com/interviews/companies/visa/experiences/senior-software-engineer-bengaluru-june-1-2025-no-offer-positive-b0e9c5ca/"/>
    <hyperlink ref="J72" r:id="rId71" display="https://leetcode.com/discuss/post/7248055/"/>
    <hyperlink ref="J73" r:id="rId72" display="https://leetcode.com/discuss/post/6938816/atlassian-senior-software-engineer-p50-o-4hf6/"/>
    <hyperlink ref="J74" r:id="rId73" display="https://leetcode.com/discuss/interview-experience/7043175/"/>
    <hyperlink ref="J75" r:id="rId74" display="https://leetcode.com/discuss/post/6683950/"/>
    <hyperlink ref="J76" r:id="rId75" display="https://www.jointaro.com/interviews/companies/oracle/experiences/senior-software-engineer-bengaluru-may-1-2025-no-offer-negative-d0dd289f/"/>
    <hyperlink ref="J77" r:id="rId76" display="https://www.jointaro.com/interviews/companies/google/experiences/senior-software-engineer-bengaluru-may-21-2025-no-offer-neutral-c1ec91f1/"/>
    <hyperlink ref="J78" r:id="rId77" display="https://leetcode.com/discuss/post/6857757/deliveroo-interview-experience-l6-staff-wmn08/"/>
    <hyperlink ref="J79" r:id="rId78" display="https://www.jointaro.com/interviews/companies/walmart/experiences/senior-software-engineer-bengaluru-april-21-2025-accepted-offer-positive-8d556041/"/>
    <hyperlink ref="J80" r:id="rId79" location="uber" display="https://leetcode.com/discuss/post/6840488/#uber"/>
    <hyperlink ref="J81" r:id="rId80" location="2025-05-20" display="https://www.glassdoor.co.in/Interview/Salesforce-Lead-Software-Engineer-Interview-Questions-EI_IE11159.0,10_KO11,33.htm#2025-05-20"/>
    <hyperlink ref="J82" r:id="rId81" display="https://leetcode.com/discuss/post/6747306/"/>
    <hyperlink ref="J83" r:id="rId82" display="https://leetcode.com/discuss/post/6651621/"/>
    <hyperlink ref="J84" r:id="rId83" location="coupang" display="https://leetcode.com/discuss/post/6840488/#coupang"/>
    <hyperlink ref="J85" r:id="rId84" display="https://leetcode.com/discuss/post/6974811/"/>
    <hyperlink ref="J86" r:id="rId85" display="https://www.jointaro.com/interviews/companies/visa/experiences/senior-software-engineer-bengaluru-march-5-2025-accepted-offer-positive-c0b64347/"/>
    <hyperlink ref="J87" r:id="rId86" location="2026-08-28" display="https://www.glassdoor.co.in/Interview/Oracle-Senior-Member-of-Technical-Staff-Interview-Questions-EI_IE1737.0,6_KO7,39.htm#2026-08-28"/>
    <hyperlink ref="J88" r:id="rId87" display="https://www.jointaro.com/interviews/companies/oracle/experiences/senior-software-engineer-bengaluru-march-1-2025-no-offer-negative-434d05e0/"/>
    <hyperlink ref="J89" r:id="rId88" display="https://leetcode.com/discuss/interview-experience/6420594/Target-or-L5-or-Bengaluru-0ffer-Feb-13"/>
    <hyperlink ref="J90" r:id="rId89" display="https://www.jointaro.com/interviews/companies/ibm/experiences/senior-software-engineer-bengaluru-february-21-2025-accepted-offer-positive-2c8f1d49/"/>
    <hyperlink ref="J91" r:id="rId90" display="https://www.jointaro.com/interviews/companies/google/experiences/senior-software-engineer-bengaluru-february-1-2025-no-offer-positive-db445722/"/>
    <hyperlink ref="J92" r:id="rId91" display="https://www.jointaro.com/interviews/companies/amazon/experiences/senior-software-engineer-bengaluru-february-1-2025-declined-offer-positive-bb35ad30/"/>
    <hyperlink ref="J93" r:id="rId92" display="https://leetcode.com/discuss/interview-experience/6467386/WalMart-SDE-III-or-Bangalore/"/>
    <hyperlink ref="J94" r:id="rId93" display="https://www.jointaro.com/interviews/companies/walmart/experiences/senior-software-engineer-bengaluru-january-1-2025-declined-offer-negative-1a3813e1/"/>
    <hyperlink ref="J95" r:id="rId94" display="https://leetcode.com/discuss/post/6303697/VISA-or-Senior-Software-Engineer-(Sr.-SW-Engineer)-or-Bangalore-or-Jan-2025-Reject/"/>
    <hyperlink ref="J96" r:id="rId95" display="https://leetcode.com/discuss/interview-experience/6321318/Salesforce-or-SMTS-or-Awaited/"/>
    <hyperlink ref="J97" r:id="rId96" display="https://leetcode.com/discuss/post/7292727/interview-experience-for-uber-l5a-by-ano-r4kt/"/>
    <hyperlink ref="J98" r:id="rId97" display="https://leetcode.com/discuss/post/7359766/jpmorgan-chase-sde-3-java-full-stack-dev-rxak/"/>
    <hyperlink ref="J99" r:id="rId98" display="https://leetcode.com/discuss/post/7124593/"/>
    <hyperlink ref="J100" r:id="rId99" display="https://leetcode.com/discuss/post/7171528/intuit-interview-expereince-senior-softw-bd8i/"/>
    <hyperlink ref="J101" r:id="rId100" display="https://www.jointaro.com/interviews/companies/walmart/experiences/senior-software-engineer-bengaluru-december-17-2024-no-offer-neutral-b651ad58/"/>
    <hyperlink ref="J102" r:id="rId101" display="https://leetcode.com/discuss/interview-experience/6105121/PhonePe-Senior-SDE-bengaluru-Exp-7+/"/>
    <hyperlink ref="J103" r:id="rId102" display="https://leetcode.com/discuss/post/6674506/"/>
    <hyperlink ref="J104" r:id="rId103" display="https://leetcode.com/discuss/interview-experience/6297389/Salesforce-or-SMTS-or-Hyderabad-or-Jan-2025-offer"/>
    <hyperlink ref="J105" r:id="rId104" display="https://leetcode.com/discuss/interview-experience/6050840/Paypal-or-Senior-Software-Engineer-or-SDE3-or-Chennai"/>
    <hyperlink ref="J106" r:id="rId105" display="https://www.jointaro.com/interviews/companies/google/experiences/senior-software-engineer-bengaluru-november-1-2024-declined-offer-neutral-577337fa/"/>
    <hyperlink ref="J107" r:id="rId106" display="https://www.jointaro.com/interviews/companies/amazon/experiences/senior-software-engineer-bengaluru-november-15-2024-no-offer-negative-0d24501d/"/>
    <hyperlink ref="J108" r:id="rId107" display="https://leetcode.com/discuss/post/6157051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0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415</v>
      </c>
    </row>
    <row r="3" customFormat="false" ht="23.85" hidden="false" customHeight="false" outlineLevel="0" collapsed="false">
      <c r="A3" s="4" t="s">
        <v>416</v>
      </c>
      <c r="B3" s="15" t="s">
        <v>417</v>
      </c>
    </row>
    <row r="4" customFormat="false" ht="15" hidden="false" customHeight="false" outlineLevel="0" collapsed="false">
      <c r="A4" s="4" t="s">
        <v>418</v>
      </c>
      <c r="B4" s="15" t="s">
        <v>419</v>
      </c>
    </row>
    <row r="5" customFormat="false" ht="35.05" hidden="false" customHeight="false" outlineLevel="0" collapsed="false">
      <c r="A5" s="4" t="s">
        <v>420</v>
      </c>
      <c r="B5" s="15" t="s">
        <v>421</v>
      </c>
    </row>
    <row r="6" customFormat="false" ht="23.85" hidden="false" customHeight="false" outlineLevel="0" collapsed="false">
      <c r="A6" s="4" t="s">
        <v>13</v>
      </c>
      <c r="B6" s="15" t="s">
        <v>422</v>
      </c>
    </row>
    <row r="7" customFormat="false" ht="23.85" hidden="false" customHeight="false" outlineLevel="0" collapsed="false">
      <c r="A7" s="4" t="s">
        <v>423</v>
      </c>
      <c r="B7" s="15" t="s">
        <v>424</v>
      </c>
    </row>
    <row r="8" customFormat="false" ht="23.85" hidden="false" customHeight="false" outlineLevel="0" collapsed="false">
      <c r="A8" s="4" t="s">
        <v>425</v>
      </c>
      <c r="B8" s="15" t="s">
        <v>426</v>
      </c>
    </row>
    <row r="9" customFormat="false" ht="23.85" hidden="false" customHeight="false" outlineLevel="0" collapsed="false">
      <c r="A9" s="4" t="s">
        <v>67</v>
      </c>
      <c r="B9" s="15" t="s">
        <v>427</v>
      </c>
    </row>
    <row r="10" customFormat="false" ht="23.85" hidden="false" customHeight="false" outlineLevel="0" collapsed="false">
      <c r="A10" s="4" t="s">
        <v>63</v>
      </c>
      <c r="B10" s="15" t="s">
        <v>428</v>
      </c>
    </row>
    <row r="11" customFormat="false" ht="15" hidden="false" customHeight="false" outlineLevel="0" collapsed="false">
      <c r="A11" s="4" t="s">
        <v>429</v>
      </c>
      <c r="B11" s="15" t="s">
        <v>430</v>
      </c>
    </row>
    <row r="12" customFormat="false" ht="23.85" hidden="false" customHeight="false" outlineLevel="0" collapsed="false">
      <c r="A12" s="4" t="s">
        <v>431</v>
      </c>
      <c r="B12" s="15" t="s">
        <v>432</v>
      </c>
    </row>
    <row r="13" customFormat="false" ht="23.85" hidden="false" customHeight="false" outlineLevel="0" collapsed="false">
      <c r="A13" s="4" t="s">
        <v>433</v>
      </c>
      <c r="B13" s="15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70"/>
  </cols>
  <sheetData>
    <row r="1" customFormat="false" ht="15" hidden="false" customHeight="false" outlineLevel="0" collapsed="false">
      <c r="A1" s="8" t="s">
        <v>57</v>
      </c>
      <c r="B1" s="8" t="s">
        <v>66</v>
      </c>
      <c r="C1" s="8" t="s">
        <v>435</v>
      </c>
    </row>
    <row r="2" customFormat="false" ht="15" hidden="false" customHeight="false" outlineLevel="0" collapsed="false">
      <c r="A2" s="10" t="n">
        <v>1</v>
      </c>
      <c r="B2" s="16" t="s">
        <v>436</v>
      </c>
      <c r="C2" s="15" t="s">
        <v>437</v>
      </c>
    </row>
    <row r="3" customFormat="false" ht="15" hidden="false" customHeight="false" outlineLevel="0" collapsed="false">
      <c r="A3" s="10" t="n">
        <v>2</v>
      </c>
      <c r="B3" s="16" t="s">
        <v>438</v>
      </c>
      <c r="C3" s="15" t="s">
        <v>439</v>
      </c>
    </row>
    <row r="4" customFormat="false" ht="15" hidden="false" customHeight="false" outlineLevel="0" collapsed="false">
      <c r="A4" s="10" t="n">
        <v>3</v>
      </c>
      <c r="B4" s="16" t="s">
        <v>440</v>
      </c>
      <c r="C4" s="15" t="s">
        <v>441</v>
      </c>
    </row>
    <row r="5" customFormat="false" ht="15" hidden="false" customHeight="false" outlineLevel="0" collapsed="false">
      <c r="A5" s="10" t="n">
        <v>4</v>
      </c>
      <c r="B5" s="16" t="s">
        <v>442</v>
      </c>
      <c r="C5" s="15" t="s">
        <v>443</v>
      </c>
    </row>
    <row r="6" customFormat="false" ht="15" hidden="false" customHeight="false" outlineLevel="0" collapsed="false">
      <c r="A6" s="10" t="n">
        <v>5</v>
      </c>
      <c r="B6" s="16" t="s">
        <v>444</v>
      </c>
      <c r="C6" s="15" t="s">
        <v>445</v>
      </c>
    </row>
    <row r="7" customFormat="false" ht="15" hidden="false" customHeight="false" outlineLevel="0" collapsed="false">
      <c r="A7" s="10" t="n">
        <v>6</v>
      </c>
      <c r="B7" s="16" t="s">
        <v>446</v>
      </c>
      <c r="C7" s="15" t="s">
        <v>447</v>
      </c>
    </row>
    <row r="8" customFormat="false" ht="15" hidden="false" customHeight="false" outlineLevel="0" collapsed="false">
      <c r="A8" s="10" t="n">
        <v>7</v>
      </c>
      <c r="B8" s="16" t="s">
        <v>448</v>
      </c>
      <c r="C8" s="15" t="s">
        <v>449</v>
      </c>
    </row>
    <row r="9" customFormat="false" ht="15" hidden="false" customHeight="false" outlineLevel="0" collapsed="false">
      <c r="A9" s="10" t="n">
        <v>8</v>
      </c>
      <c r="B9" s="16" t="s">
        <v>450</v>
      </c>
      <c r="C9" s="15" t="s">
        <v>451</v>
      </c>
    </row>
    <row r="10" customFormat="false" ht="15" hidden="false" customHeight="false" outlineLevel="0" collapsed="false">
      <c r="A10" s="10" t="n">
        <v>9</v>
      </c>
      <c r="B10" s="16" t="s">
        <v>452</v>
      </c>
      <c r="C10" s="15" t="s">
        <v>453</v>
      </c>
    </row>
    <row r="11" customFormat="false" ht="15" hidden="false" customHeight="false" outlineLevel="0" collapsed="false">
      <c r="A11" s="10" t="n">
        <v>10</v>
      </c>
      <c r="B11" s="16" t="s">
        <v>454</v>
      </c>
      <c r="C11" s="15" t="s">
        <v>455</v>
      </c>
    </row>
    <row r="12" customFormat="false" ht="15" hidden="false" customHeight="false" outlineLevel="0" collapsed="false">
      <c r="A12" s="10" t="n">
        <v>11</v>
      </c>
      <c r="B12" s="16" t="s">
        <v>456</v>
      </c>
      <c r="C12" s="15" t="s">
        <v>457</v>
      </c>
    </row>
    <row r="13" customFormat="false" ht="15" hidden="false" customHeight="false" outlineLevel="0" collapsed="false">
      <c r="A13" s="10" t="n">
        <v>12</v>
      </c>
      <c r="B13" s="16" t="s">
        <v>458</v>
      </c>
      <c r="C13" s="15" t="s">
        <v>459</v>
      </c>
    </row>
    <row r="14" customFormat="false" ht="15" hidden="false" customHeight="false" outlineLevel="0" collapsed="false">
      <c r="A14" s="10" t="n">
        <v>13</v>
      </c>
      <c r="B14" s="16" t="s">
        <v>460</v>
      </c>
      <c r="C14" s="15" t="s">
        <v>461</v>
      </c>
    </row>
    <row r="15" customFormat="false" ht="15" hidden="false" customHeight="false" outlineLevel="0" collapsed="false">
      <c r="A15" s="10" t="n">
        <v>14</v>
      </c>
      <c r="B15" s="16" t="s">
        <v>462</v>
      </c>
      <c r="C15" s="15" t="s">
        <v>461</v>
      </c>
    </row>
    <row r="16" customFormat="false" ht="15" hidden="false" customHeight="false" outlineLevel="0" collapsed="false">
      <c r="A16" s="10" t="n">
        <v>15</v>
      </c>
      <c r="B16" s="16" t="s">
        <v>463</v>
      </c>
      <c r="C16" s="15" t="s">
        <v>461</v>
      </c>
    </row>
    <row r="17" customFormat="false" ht="15" hidden="false" customHeight="false" outlineLevel="0" collapsed="false">
      <c r="A17" s="10" t="n">
        <v>16</v>
      </c>
      <c r="B17" s="16" t="s">
        <v>464</v>
      </c>
      <c r="C17" s="15" t="s">
        <v>461</v>
      </c>
    </row>
    <row r="18" customFormat="false" ht="15" hidden="false" customHeight="false" outlineLevel="0" collapsed="false">
      <c r="A18" s="10" t="n">
        <v>17</v>
      </c>
      <c r="B18" s="16" t="s">
        <v>465</v>
      </c>
      <c r="C18" s="15" t="s">
        <v>461</v>
      </c>
    </row>
    <row r="19" customFormat="false" ht="15" hidden="false" customHeight="false" outlineLevel="0" collapsed="false">
      <c r="A19" s="10" t="n">
        <v>18</v>
      </c>
      <c r="B19" s="16" t="s">
        <v>466</v>
      </c>
      <c r="C19" s="15" t="s">
        <v>461</v>
      </c>
    </row>
    <row r="20" customFormat="false" ht="15" hidden="false" customHeight="false" outlineLevel="0" collapsed="false">
      <c r="A20" s="10" t="n">
        <v>19</v>
      </c>
      <c r="B20" s="16" t="s">
        <v>467</v>
      </c>
      <c r="C20" s="15" t="s">
        <v>468</v>
      </c>
    </row>
    <row r="21" customFormat="false" ht="15" hidden="false" customHeight="false" outlineLevel="0" collapsed="false">
      <c r="A21" s="10" t="n">
        <v>20</v>
      </c>
      <c r="B21" s="16" t="s">
        <v>469</v>
      </c>
      <c r="C21" s="15" t="s">
        <v>470</v>
      </c>
    </row>
    <row r="22" customFormat="false" ht="15" hidden="false" customHeight="false" outlineLevel="0" collapsed="false">
      <c r="A22" s="10" t="n">
        <v>21</v>
      </c>
      <c r="B22" s="16" t="s">
        <v>471</v>
      </c>
      <c r="C22" s="15" t="s">
        <v>472</v>
      </c>
    </row>
    <row r="23" customFormat="false" ht="15" hidden="false" customHeight="false" outlineLevel="0" collapsed="false">
      <c r="A23" s="10" t="n">
        <v>22</v>
      </c>
      <c r="B23" s="16" t="s">
        <v>473</v>
      </c>
      <c r="C23" s="15" t="s">
        <v>474</v>
      </c>
    </row>
    <row r="24" customFormat="false" ht="15" hidden="false" customHeight="false" outlineLevel="0" collapsed="false">
      <c r="A24" s="10" t="n">
        <v>23</v>
      </c>
      <c r="B24" s="16" t="s">
        <v>475</v>
      </c>
      <c r="C24" s="15" t="s">
        <v>476</v>
      </c>
    </row>
    <row r="25" customFormat="false" ht="15" hidden="false" customHeight="false" outlineLevel="0" collapsed="false">
      <c r="A25" s="10" t="n">
        <v>24</v>
      </c>
      <c r="B25" s="16" t="s">
        <v>477</v>
      </c>
      <c r="C25" s="15" t="s">
        <v>478</v>
      </c>
    </row>
    <row r="26" customFormat="false" ht="15" hidden="false" customHeight="false" outlineLevel="0" collapsed="false">
      <c r="A26" s="10" t="n">
        <v>25</v>
      </c>
      <c r="B26" s="16" t="s">
        <v>479</v>
      </c>
      <c r="C26" s="15" t="s">
        <v>480</v>
      </c>
    </row>
    <row r="27" customFormat="false" ht="15" hidden="false" customHeight="false" outlineLevel="0" collapsed="false">
      <c r="A27" s="10" t="n">
        <v>26</v>
      </c>
      <c r="B27" s="16" t="s">
        <v>481</v>
      </c>
      <c r="C27" s="15" t="s">
        <v>482</v>
      </c>
    </row>
    <row r="28" customFormat="false" ht="15" hidden="false" customHeight="false" outlineLevel="0" collapsed="false">
      <c r="A28" s="10" t="n">
        <v>27</v>
      </c>
      <c r="B28" s="16" t="s">
        <v>483</v>
      </c>
      <c r="C28" s="15" t="s">
        <v>484</v>
      </c>
    </row>
    <row r="29" customFormat="false" ht="15" hidden="false" customHeight="false" outlineLevel="0" collapsed="false">
      <c r="A29" s="10" t="n">
        <v>28</v>
      </c>
      <c r="B29" s="16" t="s">
        <v>485</v>
      </c>
      <c r="C29" s="15" t="s">
        <v>486</v>
      </c>
    </row>
    <row r="30" customFormat="false" ht="15" hidden="false" customHeight="false" outlineLevel="0" collapsed="false">
      <c r="A30" s="10" t="n">
        <v>29</v>
      </c>
      <c r="B30" s="16" t="s">
        <v>487</v>
      </c>
      <c r="C30" s="15" t="s">
        <v>488</v>
      </c>
    </row>
    <row r="31" customFormat="false" ht="15" hidden="false" customHeight="false" outlineLevel="0" collapsed="false">
      <c r="A31" s="10" t="n">
        <v>30</v>
      </c>
      <c r="B31" s="16" t="s">
        <v>489</v>
      </c>
      <c r="C31" s="15" t="s">
        <v>490</v>
      </c>
    </row>
    <row r="32" customFormat="false" ht="15" hidden="false" customHeight="false" outlineLevel="0" collapsed="false">
      <c r="A32" s="10" t="n">
        <v>31</v>
      </c>
      <c r="B32" s="16" t="s">
        <v>491</v>
      </c>
      <c r="C32" s="15" t="s">
        <v>492</v>
      </c>
    </row>
    <row r="33" customFormat="false" ht="15" hidden="false" customHeight="false" outlineLevel="0" collapsed="false">
      <c r="A33" s="10" t="n">
        <v>32</v>
      </c>
      <c r="B33" s="16" t="s">
        <v>493</v>
      </c>
      <c r="C33" s="15" t="s">
        <v>494</v>
      </c>
    </row>
    <row r="34" customFormat="false" ht="15" hidden="false" customHeight="false" outlineLevel="0" collapsed="false">
      <c r="A34" s="10" t="n">
        <v>33</v>
      </c>
      <c r="B34" s="16" t="s">
        <v>495</v>
      </c>
      <c r="C34" s="15" t="s">
        <v>496</v>
      </c>
    </row>
    <row r="35" customFormat="false" ht="15" hidden="false" customHeight="false" outlineLevel="0" collapsed="false">
      <c r="A35" s="10" t="n">
        <v>34</v>
      </c>
      <c r="B35" s="16" t="s">
        <v>497</v>
      </c>
      <c r="C35" s="15" t="s">
        <v>498</v>
      </c>
    </row>
    <row r="36" customFormat="false" ht="15" hidden="false" customHeight="false" outlineLevel="0" collapsed="false">
      <c r="A36" s="10" t="n">
        <v>35</v>
      </c>
      <c r="B36" s="16" t="s">
        <v>499</v>
      </c>
      <c r="C36" s="15" t="s">
        <v>500</v>
      </c>
    </row>
    <row r="37" customFormat="false" ht="23.85" hidden="false" customHeight="false" outlineLevel="0" collapsed="false">
      <c r="A37" s="10" t="n">
        <v>36</v>
      </c>
      <c r="B37" s="16" t="s">
        <v>501</v>
      </c>
      <c r="C37" s="15" t="s">
        <v>502</v>
      </c>
    </row>
    <row r="38" customFormat="false" ht="15" hidden="false" customHeight="false" outlineLevel="0" collapsed="false">
      <c r="A38" s="10" t="n">
        <v>37</v>
      </c>
      <c r="B38" s="16" t="s">
        <v>503</v>
      </c>
      <c r="C38" s="15" t="s">
        <v>504</v>
      </c>
    </row>
    <row r="39" customFormat="false" ht="15" hidden="false" customHeight="false" outlineLevel="0" collapsed="false">
      <c r="A39" s="10" t="n">
        <v>38</v>
      </c>
      <c r="B39" s="16" t="s">
        <v>505</v>
      </c>
      <c r="C39" s="15" t="s">
        <v>506</v>
      </c>
    </row>
    <row r="40" customFormat="false" ht="15" hidden="false" customHeight="false" outlineLevel="0" collapsed="false">
      <c r="A40" s="10" t="n">
        <v>39</v>
      </c>
      <c r="B40" s="16" t="s">
        <v>507</v>
      </c>
      <c r="C40" s="15" t="s">
        <v>508</v>
      </c>
    </row>
    <row r="41" customFormat="false" ht="15" hidden="false" customHeight="false" outlineLevel="0" collapsed="false">
      <c r="A41" s="10" t="n">
        <v>40</v>
      </c>
      <c r="B41" s="16" t="s">
        <v>509</v>
      </c>
      <c r="C41" s="15" t="s">
        <v>510</v>
      </c>
    </row>
    <row r="42" customFormat="false" ht="15" hidden="false" customHeight="false" outlineLevel="0" collapsed="false">
      <c r="A42" s="10" t="n">
        <v>41</v>
      </c>
      <c r="B42" s="16" t="s">
        <v>511</v>
      </c>
      <c r="C42" s="15" t="s">
        <v>512</v>
      </c>
    </row>
    <row r="43" customFormat="false" ht="15" hidden="false" customHeight="false" outlineLevel="0" collapsed="false">
      <c r="A43" s="10" t="n">
        <v>42</v>
      </c>
      <c r="B43" s="16" t="s">
        <v>513</v>
      </c>
      <c r="C43" s="15" t="s">
        <v>514</v>
      </c>
    </row>
    <row r="44" customFormat="false" ht="15" hidden="false" customHeight="false" outlineLevel="0" collapsed="false">
      <c r="A44" s="10" t="n">
        <v>43</v>
      </c>
      <c r="B44" s="16" t="s">
        <v>515</v>
      </c>
      <c r="C44" s="15" t="s">
        <v>516</v>
      </c>
    </row>
    <row r="45" customFormat="false" ht="15" hidden="false" customHeight="false" outlineLevel="0" collapsed="false">
      <c r="A45" s="10" t="n">
        <v>44</v>
      </c>
      <c r="B45" s="16" t="s">
        <v>517</v>
      </c>
      <c r="C45" s="15" t="s">
        <v>518</v>
      </c>
    </row>
    <row r="46" customFormat="false" ht="23.85" hidden="false" customHeight="false" outlineLevel="0" collapsed="false">
      <c r="A46" s="10" t="n">
        <v>45</v>
      </c>
      <c r="B46" s="16" t="s">
        <v>519</v>
      </c>
      <c r="C46" s="15" t="s">
        <v>520</v>
      </c>
    </row>
    <row r="47" customFormat="false" ht="15" hidden="false" customHeight="false" outlineLevel="0" collapsed="false">
      <c r="A47" s="10" t="n">
        <v>46</v>
      </c>
      <c r="B47" s="16" t="s">
        <v>521</v>
      </c>
      <c r="C47" s="15" t="s">
        <v>522</v>
      </c>
    </row>
    <row r="48" customFormat="false" ht="15" hidden="false" customHeight="false" outlineLevel="0" collapsed="false">
      <c r="A48" s="10" t="n">
        <v>47</v>
      </c>
      <c r="B48" s="16" t="s">
        <v>523</v>
      </c>
      <c r="C48" s="15" t="s">
        <v>524</v>
      </c>
    </row>
    <row r="49" customFormat="false" ht="15" hidden="false" customHeight="false" outlineLevel="0" collapsed="false">
      <c r="A49" s="10" t="n">
        <v>48</v>
      </c>
      <c r="B49" s="16" t="s">
        <v>525</v>
      </c>
      <c r="C49" s="15" t="s">
        <v>526</v>
      </c>
    </row>
    <row r="50" customFormat="false" ht="15" hidden="false" customHeight="false" outlineLevel="0" collapsed="false">
      <c r="A50" s="10" t="n">
        <v>49</v>
      </c>
      <c r="B50" s="16" t="s">
        <v>527</v>
      </c>
      <c r="C50" s="15" t="s">
        <v>528</v>
      </c>
    </row>
    <row r="51" customFormat="false" ht="15" hidden="false" customHeight="false" outlineLevel="0" collapsed="false">
      <c r="A51" s="10" t="n">
        <v>50</v>
      </c>
      <c r="B51" s="16" t="s">
        <v>529</v>
      </c>
      <c r="C51" s="15" t="s">
        <v>530</v>
      </c>
    </row>
    <row r="52" customFormat="false" ht="15" hidden="false" customHeight="false" outlineLevel="0" collapsed="false">
      <c r="A52" s="10" t="n">
        <v>51</v>
      </c>
      <c r="B52" s="16" t="s">
        <v>531</v>
      </c>
      <c r="C52" s="15" t="s">
        <v>532</v>
      </c>
    </row>
    <row r="53" customFormat="false" ht="15" hidden="false" customHeight="false" outlineLevel="0" collapsed="false">
      <c r="A53" s="10" t="n">
        <v>52</v>
      </c>
      <c r="B53" s="16" t="s">
        <v>533</v>
      </c>
      <c r="C53" s="15" t="s">
        <v>534</v>
      </c>
    </row>
    <row r="54" customFormat="false" ht="15" hidden="false" customHeight="false" outlineLevel="0" collapsed="false">
      <c r="A54" s="10" t="n">
        <v>53</v>
      </c>
      <c r="B54" s="16" t="s">
        <v>535</v>
      </c>
      <c r="C54" s="15" t="s">
        <v>536</v>
      </c>
    </row>
    <row r="55" customFormat="false" ht="15" hidden="false" customHeight="false" outlineLevel="0" collapsed="false">
      <c r="A55" s="10" t="n">
        <v>54</v>
      </c>
      <c r="B55" s="16" t="s">
        <v>537</v>
      </c>
      <c r="C55" s="15" t="s">
        <v>538</v>
      </c>
    </row>
    <row r="56" customFormat="false" ht="15" hidden="false" customHeight="false" outlineLevel="0" collapsed="false">
      <c r="A56" s="10" t="n">
        <v>55</v>
      </c>
      <c r="B56" s="16" t="s">
        <v>539</v>
      </c>
      <c r="C56" s="15" t="s">
        <v>468</v>
      </c>
    </row>
    <row r="57" customFormat="false" ht="15" hidden="false" customHeight="false" outlineLevel="0" collapsed="false">
      <c r="A57" s="10" t="n">
        <v>56</v>
      </c>
      <c r="B57" s="16" t="s">
        <v>540</v>
      </c>
      <c r="C57" s="15" t="s">
        <v>541</v>
      </c>
    </row>
    <row r="58" customFormat="false" ht="15" hidden="false" customHeight="false" outlineLevel="0" collapsed="false">
      <c r="A58" s="10" t="n">
        <v>57</v>
      </c>
      <c r="B58" s="16" t="s">
        <v>542</v>
      </c>
      <c r="C58" s="15" t="s">
        <v>543</v>
      </c>
    </row>
    <row r="59" customFormat="false" ht="15" hidden="false" customHeight="false" outlineLevel="0" collapsed="false">
      <c r="A59" s="10" t="n">
        <v>58</v>
      </c>
      <c r="B59" s="16" t="s">
        <v>544</v>
      </c>
      <c r="C59" s="15" t="s">
        <v>545</v>
      </c>
    </row>
    <row r="60" customFormat="false" ht="15" hidden="false" customHeight="false" outlineLevel="0" collapsed="false">
      <c r="A60" s="10" t="n">
        <v>59</v>
      </c>
      <c r="B60" s="16" t="s">
        <v>546</v>
      </c>
      <c r="C60" s="15" t="s">
        <v>547</v>
      </c>
    </row>
    <row r="61" customFormat="false" ht="15" hidden="false" customHeight="false" outlineLevel="0" collapsed="false">
      <c r="A61" s="10" t="n">
        <v>60</v>
      </c>
      <c r="B61" s="16" t="s">
        <v>548</v>
      </c>
      <c r="C61" s="15" t="s">
        <v>549</v>
      </c>
    </row>
    <row r="62" customFormat="false" ht="15" hidden="false" customHeight="false" outlineLevel="0" collapsed="false">
      <c r="A62" s="10" t="n">
        <v>61</v>
      </c>
      <c r="B62" s="16" t="s">
        <v>550</v>
      </c>
      <c r="C62" s="15" t="s">
        <v>551</v>
      </c>
    </row>
    <row r="63" customFormat="false" ht="15" hidden="false" customHeight="false" outlineLevel="0" collapsed="false">
      <c r="A63" s="10" t="n">
        <v>62</v>
      </c>
      <c r="B63" s="16" t="s">
        <v>552</v>
      </c>
      <c r="C63" s="15" t="s">
        <v>553</v>
      </c>
    </row>
    <row r="64" customFormat="false" ht="15" hidden="false" customHeight="false" outlineLevel="0" collapsed="false">
      <c r="A64" s="10" t="n">
        <v>63</v>
      </c>
      <c r="B64" s="16" t="s">
        <v>554</v>
      </c>
      <c r="C64" s="15" t="s">
        <v>555</v>
      </c>
    </row>
    <row r="65" customFormat="false" ht="15" hidden="false" customHeight="false" outlineLevel="0" collapsed="false">
      <c r="A65" s="10" t="n">
        <v>64</v>
      </c>
      <c r="B65" s="16" t="s">
        <v>556</v>
      </c>
      <c r="C65" s="15" t="s">
        <v>557</v>
      </c>
    </row>
    <row r="66" customFormat="false" ht="15" hidden="false" customHeight="false" outlineLevel="0" collapsed="false">
      <c r="A66" s="10" t="n">
        <v>65</v>
      </c>
      <c r="B66" s="16" t="s">
        <v>558</v>
      </c>
      <c r="C66" s="15" t="s">
        <v>559</v>
      </c>
    </row>
    <row r="67" customFormat="false" ht="15" hidden="false" customHeight="false" outlineLevel="0" collapsed="false">
      <c r="A67" s="10" t="n">
        <v>66</v>
      </c>
      <c r="B67" s="16" t="s">
        <v>560</v>
      </c>
      <c r="C67" s="15" t="s">
        <v>561</v>
      </c>
    </row>
    <row r="68" customFormat="false" ht="15" hidden="false" customHeight="false" outlineLevel="0" collapsed="false">
      <c r="A68" s="10" t="n">
        <v>67</v>
      </c>
      <c r="B68" s="16" t="s">
        <v>562</v>
      </c>
      <c r="C68" s="15" t="s">
        <v>516</v>
      </c>
    </row>
    <row r="69" customFormat="false" ht="15" hidden="false" customHeight="false" outlineLevel="0" collapsed="false">
      <c r="A69" s="10" t="n">
        <v>68</v>
      </c>
      <c r="B69" s="16" t="s">
        <v>563</v>
      </c>
      <c r="C69" s="15" t="s">
        <v>564</v>
      </c>
    </row>
    <row r="70" customFormat="false" ht="15" hidden="false" customHeight="false" outlineLevel="0" collapsed="false">
      <c r="A70" s="10" t="n">
        <v>69</v>
      </c>
      <c r="B70" s="16" t="s">
        <v>565</v>
      </c>
      <c r="C70" s="15" t="s">
        <v>566</v>
      </c>
    </row>
    <row r="71" customFormat="false" ht="15" hidden="false" customHeight="false" outlineLevel="0" collapsed="false">
      <c r="A71" s="10" t="n">
        <v>70</v>
      </c>
      <c r="B71" s="16" t="s">
        <v>567</v>
      </c>
      <c r="C71" s="15" t="s">
        <v>568</v>
      </c>
    </row>
    <row r="72" customFormat="false" ht="15" hidden="false" customHeight="false" outlineLevel="0" collapsed="false">
      <c r="A72" s="10" t="n">
        <v>71</v>
      </c>
      <c r="B72" s="16" t="s">
        <v>569</v>
      </c>
      <c r="C72" s="15" t="s">
        <v>570</v>
      </c>
    </row>
    <row r="73" customFormat="false" ht="15" hidden="false" customHeight="false" outlineLevel="0" collapsed="false">
      <c r="A73" s="10" t="n">
        <v>72</v>
      </c>
      <c r="B73" s="16" t="s">
        <v>571</v>
      </c>
      <c r="C73" s="15" t="s">
        <v>518</v>
      </c>
    </row>
    <row r="74" customFormat="false" ht="23.85" hidden="false" customHeight="false" outlineLevel="0" collapsed="false">
      <c r="A74" s="10" t="n">
        <v>73</v>
      </c>
      <c r="B74" s="16" t="s">
        <v>572</v>
      </c>
      <c r="C74" s="15" t="s">
        <v>573</v>
      </c>
    </row>
    <row r="75" customFormat="false" ht="15" hidden="false" customHeight="false" outlineLevel="0" collapsed="false">
      <c r="A75" s="10" t="n">
        <v>74</v>
      </c>
      <c r="B75" s="16" t="s">
        <v>574</v>
      </c>
      <c r="C75" s="15" t="s">
        <v>575</v>
      </c>
    </row>
    <row r="76" customFormat="false" ht="15" hidden="false" customHeight="false" outlineLevel="0" collapsed="false">
      <c r="A76" s="10" t="n">
        <v>75</v>
      </c>
      <c r="B76" s="16" t="s">
        <v>576</v>
      </c>
      <c r="C76" s="15" t="s">
        <v>577</v>
      </c>
    </row>
    <row r="77" customFormat="false" ht="15" hidden="false" customHeight="false" outlineLevel="0" collapsed="false">
      <c r="A77" s="10" t="n">
        <v>76</v>
      </c>
      <c r="B77" s="16" t="s">
        <v>578</v>
      </c>
      <c r="C77" s="15" t="s">
        <v>579</v>
      </c>
    </row>
    <row r="78" customFormat="false" ht="15" hidden="false" customHeight="false" outlineLevel="0" collapsed="false">
      <c r="A78" s="10" t="n">
        <v>77</v>
      </c>
      <c r="B78" s="16" t="s">
        <v>580</v>
      </c>
      <c r="C78" s="15" t="s">
        <v>581</v>
      </c>
    </row>
    <row r="79" customFormat="false" ht="15" hidden="false" customHeight="false" outlineLevel="0" collapsed="false">
      <c r="A79" s="10" t="n">
        <v>78</v>
      </c>
      <c r="B79" s="16" t="s">
        <v>582</v>
      </c>
      <c r="C79" s="15" t="s">
        <v>583</v>
      </c>
    </row>
    <row r="80" customFormat="false" ht="15" hidden="false" customHeight="false" outlineLevel="0" collapsed="false">
      <c r="A80" s="10" t="n">
        <v>79</v>
      </c>
      <c r="B80" s="16" t="s">
        <v>584</v>
      </c>
      <c r="C80" s="15" t="s">
        <v>585</v>
      </c>
    </row>
    <row r="81" customFormat="false" ht="15" hidden="false" customHeight="false" outlineLevel="0" collapsed="false">
      <c r="A81" s="10" t="n">
        <v>80</v>
      </c>
      <c r="B81" s="16" t="s">
        <v>586</v>
      </c>
      <c r="C81" s="15" t="s">
        <v>587</v>
      </c>
    </row>
    <row r="82" customFormat="false" ht="15" hidden="false" customHeight="false" outlineLevel="0" collapsed="false">
      <c r="A82" s="10" t="n">
        <v>81</v>
      </c>
      <c r="B82" s="16" t="s">
        <v>588</v>
      </c>
      <c r="C82" s="15" t="s">
        <v>589</v>
      </c>
    </row>
    <row r="83" customFormat="false" ht="23.85" hidden="false" customHeight="false" outlineLevel="0" collapsed="false">
      <c r="A83" s="10" t="n">
        <v>82</v>
      </c>
      <c r="B83" s="16" t="s">
        <v>590</v>
      </c>
      <c r="C83" s="15" t="s">
        <v>591</v>
      </c>
    </row>
    <row r="84" customFormat="false" ht="23.85" hidden="false" customHeight="false" outlineLevel="0" collapsed="false">
      <c r="A84" s="10" t="n">
        <v>83</v>
      </c>
      <c r="B84" s="16" t="s">
        <v>592</v>
      </c>
      <c r="C84" s="15" t="s">
        <v>593</v>
      </c>
    </row>
    <row r="85" customFormat="false" ht="15" hidden="false" customHeight="false" outlineLevel="0" collapsed="false">
      <c r="A85" s="10" t="n">
        <v>84</v>
      </c>
      <c r="B85" s="16" t="s">
        <v>594</v>
      </c>
      <c r="C85" s="15" t="s">
        <v>595</v>
      </c>
    </row>
    <row r="86" customFormat="false" ht="15" hidden="false" customHeight="false" outlineLevel="0" collapsed="false">
      <c r="A86" s="10" t="n">
        <v>85</v>
      </c>
      <c r="B86" s="16" t="s">
        <v>596</v>
      </c>
      <c r="C86" s="15" t="s">
        <v>597</v>
      </c>
    </row>
    <row r="87" customFormat="false" ht="15" hidden="false" customHeight="false" outlineLevel="0" collapsed="false">
      <c r="A87" s="10" t="n">
        <v>86</v>
      </c>
      <c r="B87" s="16" t="s">
        <v>598</v>
      </c>
      <c r="C87" s="15" t="s">
        <v>599</v>
      </c>
    </row>
    <row r="88" customFormat="false" ht="15" hidden="false" customHeight="false" outlineLevel="0" collapsed="false">
      <c r="A88" s="10" t="n">
        <v>87</v>
      </c>
      <c r="B88" s="16" t="s">
        <v>600</v>
      </c>
      <c r="C88" s="15" t="s">
        <v>601</v>
      </c>
    </row>
    <row r="89" customFormat="false" ht="15" hidden="false" customHeight="false" outlineLevel="0" collapsed="false">
      <c r="A89" s="10" t="n">
        <v>88</v>
      </c>
      <c r="B89" s="16" t="s">
        <v>602</v>
      </c>
      <c r="C89" s="15" t="s">
        <v>461</v>
      </c>
    </row>
    <row r="90" customFormat="false" ht="15" hidden="false" customHeight="false" outlineLevel="0" collapsed="false">
      <c r="A90" s="10" t="n">
        <v>89</v>
      </c>
      <c r="B90" s="16" t="s">
        <v>603</v>
      </c>
      <c r="C90" s="15" t="s">
        <v>604</v>
      </c>
    </row>
    <row r="91" customFormat="false" ht="15" hidden="false" customHeight="false" outlineLevel="0" collapsed="false">
      <c r="A91" s="10" t="n">
        <v>90</v>
      </c>
      <c r="B91" s="16" t="s">
        <v>605</v>
      </c>
      <c r="C91" s="15" t="s">
        <v>606</v>
      </c>
    </row>
    <row r="92" customFormat="false" ht="15" hidden="false" customHeight="false" outlineLevel="0" collapsed="false">
      <c r="A92" s="10" t="n">
        <v>91</v>
      </c>
      <c r="B92" s="16" t="s">
        <v>607</v>
      </c>
      <c r="C92" s="15" t="s">
        <v>608</v>
      </c>
    </row>
    <row r="93" customFormat="false" ht="15" hidden="false" customHeight="false" outlineLevel="0" collapsed="false">
      <c r="A93" s="10" t="n">
        <v>92</v>
      </c>
      <c r="B93" s="16" t="s">
        <v>609</v>
      </c>
      <c r="C93" s="15" t="s">
        <v>610</v>
      </c>
    </row>
    <row r="94" customFormat="false" ht="23.85" hidden="false" customHeight="false" outlineLevel="0" collapsed="false">
      <c r="A94" s="10" t="n">
        <v>93</v>
      </c>
      <c r="B94" s="16" t="s">
        <v>611</v>
      </c>
      <c r="C94" s="15" t="s">
        <v>612</v>
      </c>
    </row>
    <row r="95" customFormat="false" ht="15" hidden="false" customHeight="false" outlineLevel="0" collapsed="false">
      <c r="A95" s="10" t="n">
        <v>94</v>
      </c>
      <c r="B95" s="16" t="s">
        <v>613</v>
      </c>
      <c r="C95" s="15" t="s">
        <v>614</v>
      </c>
    </row>
    <row r="96" customFormat="false" ht="15" hidden="false" customHeight="false" outlineLevel="0" collapsed="false">
      <c r="A96" s="10" t="n">
        <v>95</v>
      </c>
      <c r="B96" s="16" t="s">
        <v>615</v>
      </c>
      <c r="C96" s="15" t="s">
        <v>616</v>
      </c>
    </row>
    <row r="97" customFormat="false" ht="15" hidden="false" customHeight="false" outlineLevel="0" collapsed="false">
      <c r="A97" s="10" t="n">
        <v>96</v>
      </c>
      <c r="B97" s="16" t="s">
        <v>617</v>
      </c>
      <c r="C97" s="15" t="s">
        <v>618</v>
      </c>
    </row>
    <row r="98" customFormat="false" ht="15" hidden="false" customHeight="false" outlineLevel="0" collapsed="false">
      <c r="A98" s="10" t="n">
        <v>97</v>
      </c>
      <c r="B98" s="16" t="s">
        <v>619</v>
      </c>
      <c r="C98" s="15" t="s">
        <v>620</v>
      </c>
    </row>
    <row r="99" customFormat="false" ht="15" hidden="false" customHeight="false" outlineLevel="0" collapsed="false">
      <c r="A99" s="10" t="n">
        <v>98</v>
      </c>
      <c r="B99" s="16" t="s">
        <v>621</v>
      </c>
      <c r="C99" s="15" t="s">
        <v>620</v>
      </c>
    </row>
    <row r="100" customFormat="false" ht="15" hidden="false" customHeight="false" outlineLevel="0" collapsed="false">
      <c r="A100" s="10" t="n">
        <v>99</v>
      </c>
      <c r="B100" s="16" t="s">
        <v>622</v>
      </c>
      <c r="C100" s="15" t="s">
        <v>623</v>
      </c>
    </row>
    <row r="101" customFormat="false" ht="15" hidden="false" customHeight="false" outlineLevel="0" collapsed="false">
      <c r="A101" s="10" t="n">
        <v>100</v>
      </c>
      <c r="B101" s="16" t="s">
        <v>624</v>
      </c>
      <c r="C101" s="15" t="s">
        <v>625</v>
      </c>
    </row>
    <row r="102" customFormat="false" ht="15" hidden="false" customHeight="false" outlineLevel="0" collapsed="false">
      <c r="A102" s="10" t="n">
        <v>101</v>
      </c>
      <c r="B102" s="16" t="s">
        <v>626</v>
      </c>
      <c r="C102" s="15" t="s">
        <v>627</v>
      </c>
    </row>
    <row r="103" customFormat="false" ht="15" hidden="false" customHeight="false" outlineLevel="0" collapsed="false">
      <c r="A103" s="10" t="n">
        <v>102</v>
      </c>
      <c r="B103" s="16" t="s">
        <v>628</v>
      </c>
      <c r="C103" s="15" t="s">
        <v>629</v>
      </c>
    </row>
    <row r="104" customFormat="false" ht="15" hidden="false" customHeight="false" outlineLevel="0" collapsed="false">
      <c r="A104" s="10" t="n">
        <v>103</v>
      </c>
      <c r="B104" s="16" t="s">
        <v>630</v>
      </c>
      <c r="C104" s="15" t="s">
        <v>631</v>
      </c>
    </row>
    <row r="105" customFormat="false" ht="15" hidden="false" customHeight="false" outlineLevel="0" collapsed="false">
      <c r="A105" s="10" t="n">
        <v>104</v>
      </c>
      <c r="B105" s="16" t="s">
        <v>632</v>
      </c>
      <c r="C105" s="15" t="s">
        <v>633</v>
      </c>
    </row>
    <row r="106" customFormat="false" ht="15" hidden="false" customHeight="false" outlineLevel="0" collapsed="false">
      <c r="A106" s="10" t="n">
        <v>105</v>
      </c>
      <c r="B106" s="16" t="s">
        <v>634</v>
      </c>
      <c r="C106" s="15" t="s">
        <v>635</v>
      </c>
    </row>
    <row r="107" customFormat="false" ht="15" hidden="false" customHeight="false" outlineLevel="0" collapsed="false">
      <c r="A107" s="10" t="n">
        <v>106</v>
      </c>
      <c r="B107" s="16" t="s">
        <v>636</v>
      </c>
      <c r="C107" s="15" t="s">
        <v>482</v>
      </c>
    </row>
    <row r="108" customFormat="false" ht="15" hidden="false" customHeight="false" outlineLevel="0" collapsed="false">
      <c r="A108" s="10" t="n">
        <v>107</v>
      </c>
      <c r="B108" s="16" t="s">
        <v>637</v>
      </c>
      <c r="C108" s="15" t="s">
        <v>638</v>
      </c>
    </row>
    <row r="109" customFormat="false" ht="15" hidden="false" customHeight="false" outlineLevel="0" collapsed="false">
      <c r="A109" s="10" t="n">
        <v>108</v>
      </c>
      <c r="B109" s="16" t="s">
        <v>639</v>
      </c>
      <c r="C109" s="15" t="s">
        <v>640</v>
      </c>
    </row>
    <row r="110" customFormat="false" ht="15" hidden="false" customHeight="false" outlineLevel="0" collapsed="false">
      <c r="A110" s="10" t="n">
        <v>109</v>
      </c>
      <c r="B110" s="16" t="s">
        <v>641</v>
      </c>
      <c r="C110" s="15" t="s">
        <v>642</v>
      </c>
    </row>
    <row r="111" customFormat="false" ht="15" hidden="false" customHeight="false" outlineLevel="0" collapsed="false">
      <c r="A111" s="10" t="n">
        <v>110</v>
      </c>
      <c r="B111" s="16" t="s">
        <v>643</v>
      </c>
      <c r="C111" s="15" t="s">
        <v>644</v>
      </c>
    </row>
    <row r="112" customFormat="false" ht="23.85" hidden="false" customHeight="false" outlineLevel="0" collapsed="false">
      <c r="A112" s="10" t="n">
        <v>111</v>
      </c>
      <c r="B112" s="16" t="s">
        <v>645</v>
      </c>
      <c r="C112" s="15" t="s">
        <v>646</v>
      </c>
    </row>
    <row r="113" customFormat="false" ht="15" hidden="false" customHeight="false" outlineLevel="0" collapsed="false">
      <c r="A113" s="10" t="n">
        <v>112</v>
      </c>
      <c r="B113" s="16" t="s">
        <v>647</v>
      </c>
      <c r="C113" s="15" t="s">
        <v>648</v>
      </c>
    </row>
    <row r="114" customFormat="false" ht="15" hidden="false" customHeight="false" outlineLevel="0" collapsed="false">
      <c r="A114" s="10" t="n">
        <v>113</v>
      </c>
      <c r="B114" s="16" t="s">
        <v>649</v>
      </c>
      <c r="C114" s="15" t="s">
        <v>650</v>
      </c>
    </row>
    <row r="115" customFormat="false" ht="15" hidden="false" customHeight="false" outlineLevel="0" collapsed="false">
      <c r="A115" s="10" t="n">
        <v>114</v>
      </c>
      <c r="B115" s="16" t="s">
        <v>651</v>
      </c>
      <c r="C115" s="15" t="s">
        <v>652</v>
      </c>
    </row>
    <row r="116" customFormat="false" ht="15" hidden="false" customHeight="false" outlineLevel="0" collapsed="false">
      <c r="A116" s="10" t="n">
        <v>115</v>
      </c>
      <c r="B116" s="16" t="s">
        <v>653</v>
      </c>
      <c r="C116" s="15" t="s">
        <v>654</v>
      </c>
    </row>
    <row r="117" customFormat="false" ht="15" hidden="false" customHeight="false" outlineLevel="0" collapsed="false">
      <c r="A117" s="10" t="n">
        <v>116</v>
      </c>
      <c r="B117" s="16" t="s">
        <v>655</v>
      </c>
      <c r="C117" s="15" t="s">
        <v>656</v>
      </c>
    </row>
    <row r="118" customFormat="false" ht="15" hidden="false" customHeight="false" outlineLevel="0" collapsed="false">
      <c r="A118" s="10" t="n">
        <v>117</v>
      </c>
      <c r="B118" s="16" t="s">
        <v>657</v>
      </c>
      <c r="C118" s="15" t="s">
        <v>656</v>
      </c>
    </row>
    <row r="119" customFormat="false" ht="15" hidden="false" customHeight="false" outlineLevel="0" collapsed="false">
      <c r="A119" s="10" t="n">
        <v>118</v>
      </c>
      <c r="B119" s="16" t="s">
        <v>658</v>
      </c>
      <c r="C119" s="15" t="s">
        <v>659</v>
      </c>
    </row>
    <row r="120" customFormat="false" ht="15" hidden="false" customHeight="false" outlineLevel="0" collapsed="false">
      <c r="A120" s="10" t="n">
        <v>119</v>
      </c>
      <c r="B120" s="16" t="s">
        <v>660</v>
      </c>
      <c r="C120" s="15" t="s">
        <v>661</v>
      </c>
    </row>
    <row r="121" customFormat="false" ht="15" hidden="false" customHeight="false" outlineLevel="0" collapsed="false">
      <c r="A121" s="10" t="n">
        <v>120</v>
      </c>
      <c r="B121" s="16" t="s">
        <v>662</v>
      </c>
      <c r="C121" s="15" t="s">
        <v>663</v>
      </c>
    </row>
    <row r="122" customFormat="false" ht="23.85" hidden="false" customHeight="false" outlineLevel="0" collapsed="false">
      <c r="A122" s="10" t="n">
        <v>121</v>
      </c>
      <c r="B122" s="16" t="s">
        <v>664</v>
      </c>
      <c r="C122" s="15" t="s">
        <v>665</v>
      </c>
    </row>
    <row r="123" customFormat="false" ht="15" hidden="false" customHeight="false" outlineLevel="0" collapsed="false">
      <c r="A123" s="10" t="n">
        <v>122</v>
      </c>
      <c r="B123" s="16" t="s">
        <v>666</v>
      </c>
      <c r="C123" s="15" t="s">
        <v>468</v>
      </c>
    </row>
    <row r="124" customFormat="false" ht="15" hidden="false" customHeight="false" outlineLevel="0" collapsed="false">
      <c r="A124" s="10" t="n">
        <v>123</v>
      </c>
      <c r="B124" s="16" t="s">
        <v>667</v>
      </c>
      <c r="C124" s="15" t="s">
        <v>668</v>
      </c>
    </row>
    <row r="125" customFormat="false" ht="15" hidden="false" customHeight="false" outlineLevel="0" collapsed="false">
      <c r="A125" s="10" t="n">
        <v>124</v>
      </c>
      <c r="B125" s="16" t="s">
        <v>669</v>
      </c>
      <c r="C125" s="15" t="s">
        <v>670</v>
      </c>
    </row>
    <row r="126" customFormat="false" ht="15" hidden="false" customHeight="false" outlineLevel="0" collapsed="false">
      <c r="A126" s="10" t="n">
        <v>125</v>
      </c>
      <c r="B126" s="16" t="s">
        <v>671</v>
      </c>
      <c r="C126" s="15" t="s">
        <v>672</v>
      </c>
    </row>
    <row r="127" customFormat="false" ht="23.85" hidden="false" customHeight="false" outlineLevel="0" collapsed="false">
      <c r="A127" s="10" t="n">
        <v>126</v>
      </c>
      <c r="B127" s="16" t="s">
        <v>673</v>
      </c>
      <c r="C127" s="15" t="s">
        <v>674</v>
      </c>
    </row>
    <row r="128" customFormat="false" ht="15" hidden="false" customHeight="false" outlineLevel="0" collapsed="false">
      <c r="A128" s="10" t="n">
        <v>127</v>
      </c>
      <c r="B128" s="16" t="s">
        <v>675</v>
      </c>
      <c r="C128" s="15" t="s">
        <v>676</v>
      </c>
    </row>
    <row r="129" customFormat="false" ht="15" hidden="false" customHeight="false" outlineLevel="0" collapsed="false">
      <c r="A129" s="10" t="n">
        <v>128</v>
      </c>
      <c r="B129" s="16" t="s">
        <v>677</v>
      </c>
      <c r="C129" s="15" t="s">
        <v>678</v>
      </c>
    </row>
    <row r="130" customFormat="false" ht="15" hidden="false" customHeight="false" outlineLevel="0" collapsed="false">
      <c r="A130" s="10" t="n">
        <v>129</v>
      </c>
      <c r="B130" s="16" t="s">
        <v>679</v>
      </c>
      <c r="C130" s="15" t="s">
        <v>680</v>
      </c>
    </row>
    <row r="131" customFormat="false" ht="15" hidden="false" customHeight="false" outlineLevel="0" collapsed="false">
      <c r="A131" s="10" t="n">
        <v>130</v>
      </c>
      <c r="B131" s="16" t="s">
        <v>681</v>
      </c>
      <c r="C131" s="15" t="s">
        <v>682</v>
      </c>
    </row>
    <row r="132" customFormat="false" ht="15" hidden="false" customHeight="false" outlineLevel="0" collapsed="false">
      <c r="A132" s="10" t="n">
        <v>131</v>
      </c>
      <c r="B132" s="16" t="s">
        <v>683</v>
      </c>
      <c r="C132" s="15" t="s">
        <v>684</v>
      </c>
    </row>
    <row r="133" customFormat="false" ht="15" hidden="false" customHeight="false" outlineLevel="0" collapsed="false">
      <c r="A133" s="10" t="n">
        <v>132</v>
      </c>
      <c r="B133" s="16" t="s">
        <v>685</v>
      </c>
      <c r="C133" s="15" t="s">
        <v>686</v>
      </c>
    </row>
    <row r="134" customFormat="false" ht="15" hidden="false" customHeight="false" outlineLevel="0" collapsed="false">
      <c r="A134" s="10" t="n">
        <v>133</v>
      </c>
      <c r="B134" s="16" t="s">
        <v>687</v>
      </c>
      <c r="C134" s="15" t="s">
        <v>688</v>
      </c>
    </row>
    <row r="135" customFormat="false" ht="15" hidden="false" customHeight="false" outlineLevel="0" collapsed="false">
      <c r="A135" s="10" t="n">
        <v>134</v>
      </c>
      <c r="B135" s="16" t="s">
        <v>689</v>
      </c>
      <c r="C135" s="15" t="s">
        <v>690</v>
      </c>
    </row>
  </sheetData>
  <hyperlinks>
    <hyperlink ref="B2" r:id="rId1" display="https://leetcode.com/discuss/post/8293408/"/>
    <hyperlink ref="B3" r:id="rId2" display="https://leetcode.com/discuss/interview-experience/6489221/"/>
    <hyperlink ref="B4" r:id="rId3" display="https://leetcode.com/discuss/post/7725248/"/>
    <hyperlink ref="B5" r:id="rId4" display="https://leetcode.com/discuss/post/8546012/"/>
    <hyperlink ref="B6" r:id="rId5" display="https://leetcode.com/discuss/post/8569781/"/>
    <hyperlink ref="B7" r:id="rId6" display="https://leetcode.com/discuss/post/7947916/"/>
    <hyperlink ref="B8" r:id="rId7" display="https://leetcode.com/discuss/post/8524180/"/>
    <hyperlink ref="B9" r:id="rId8" display="https://leetcode.com/discuss/post/6774570/"/>
    <hyperlink ref="B10" r:id="rId9" display="https://leetcode.com/discuss/post/8509983/"/>
    <hyperlink ref="B11" r:id="rId10" display="https://leetcode.com/discuss/post/7614788/"/>
    <hyperlink ref="B12" r:id="rId11" display="https://leetcode.com/discuss/post/6954860/"/>
    <hyperlink ref="B13" r:id="rId12" display="https://leetcode.com/discuss/post/8076680/"/>
    <hyperlink ref="B14" r:id="rId13" display="https://leetcode.com/discuss/post/7321156/"/>
    <hyperlink ref="B15" r:id="rId14" display="https://leetcode.com/discuss/post/7240265/"/>
    <hyperlink ref="B16" r:id="rId15" display="https://leetcode.com/discuss/post/7165974/"/>
    <hyperlink ref="B17" r:id="rId16" display="https://leetcode.com/discuss/post/7357386/"/>
    <hyperlink ref="B18" r:id="rId17" display="https://leetcode.com/discuss/post/7166280/"/>
    <hyperlink ref="B19" r:id="rId18" display="https://leetcode.com/discuss/post/7683411/"/>
    <hyperlink ref="B20" r:id="rId19" display="https://leetcode.com/discuss/post/8346937/"/>
    <hyperlink ref="B21" r:id="rId20" display="glassdoor Razorpay RVW96524604 RVW95101845 RVW93979110 + list"/>
    <hyperlink ref="B22" r:id="rId21" display="glassdoor Nutanix RVW97520827"/>
    <hyperlink ref="B23" r:id="rId22" display="https://leetcode.com/discuss/post/8373008/"/>
    <hyperlink ref="B24" r:id="rId23" location="loop1" display="https://leetcode.com/discuss/post/7318007/#loop1"/>
    <hyperlink ref="B25" r:id="rId24" display="https://leetcode.com/discuss/interview-experience/6399510/"/>
    <hyperlink ref="B26" r:id="rId25" display="https://leetcode.com/discuss/interview-experience/6344788/"/>
    <hyperlink ref="B27" r:id="rId26" location="microsoft" display="https://leetcode.com/discuss/post/8477884/#microsoft"/>
    <hyperlink ref="B28" r:id="rId27" display="https://leetcode.com/discuss/post/6749919/"/>
    <hyperlink ref="B29" r:id="rId28" display="https://leetcode.com/discuss/interview-experience/6462165/"/>
    <hyperlink ref="B30" r:id="rId29" display="https://leetcode.com/discuss/post/6475013/"/>
    <hyperlink ref="B31" r:id="rId30" display="https://leetcode.com/discuss/interview-experience/6819770/"/>
    <hyperlink ref="B32" r:id="rId31" display="https://leetcode.com/discuss/interview-experience/6743598/"/>
    <hyperlink ref="B33" r:id="rId32" display="https://leetcode.com/discuss/post/7407389/"/>
    <hyperlink ref="B34" r:id="rId33" display="https://leetcode.com/discuss/post/8331559/"/>
    <hyperlink ref="B35" r:id="rId34" display="https://leetcode.com/discuss/post/7192540/"/>
    <hyperlink ref="B36" r:id="rId35" display="https://leetcode.com/discuss/interview-experience/7039649/"/>
    <hyperlink ref="B37" r:id="rId36" display="https://leetcode.com/discuss/post/8289157/"/>
    <hyperlink ref="B38" r:id="rId37" display="https://leetcode.com/discuss/post/7784812/"/>
    <hyperlink ref="B39" r:id="rId38" display="https://leetcode.com/discuss/interview-experience/6829933/"/>
    <hyperlink ref="B40" r:id="rId39" display="https://leetcode.com/discuss/post/8521771/"/>
    <hyperlink ref="B41" r:id="rId40" display="https://leetcode.com/discuss/post/7052204/"/>
    <hyperlink ref="B42" r:id="rId41" display="glassdoor Salesforce SMTS 2025-09-13"/>
    <hyperlink ref="B43" r:id="rId42" display="glassdoor Salesforce SMTS 2025-02-21"/>
    <hyperlink ref="B44" r:id="rId43" display="glassdoor Nutanix SMTS 2025-01-17"/>
    <hyperlink ref="B45" r:id="rId44" display="glassdoor VMware SMTS page"/>
    <hyperlink ref="B46" r:id="rId45" display="glassdoor Intuit Staff x3 (2026)"/>
    <hyperlink ref="B47" r:id="rId46" display="glassdoor Salesforce Lead SE 2025-02-05"/>
    <hyperlink ref="B48" r:id="rId47" display="glassdoor Salesforce Lead SE 2025-02-03"/>
    <hyperlink ref="B49" r:id="rId48" display="https://leetcode.com/discuss/interview-experience/6283963/"/>
    <hyperlink ref="B50" r:id="rId49" location="uber-oa" display="https://leetcode.com/discuss/post/6840488/#uber-oa"/>
    <hyperlink ref="B51" r:id="rId50" display="https://leetcode.com/discuss/post/7200743/"/>
    <hyperlink ref="B52" r:id="rId51" display="https://leetcode.com/discuss/post/6318948/"/>
    <hyperlink ref="B53" r:id="rId52" display="https://leetcode.com/discuss/post/7124533/"/>
    <hyperlink ref="B54" r:id="rId53" display="https://leetcode.com/discuss/post/6170246/"/>
    <hyperlink ref="B55" r:id="rId54" display="https://leetcode.com/discuss/interview-experience/6323099/"/>
    <hyperlink ref="B56" r:id="rId55" display="https://leetcode.com/discuss/post/7406873/"/>
    <hyperlink ref="B57" r:id="rId56" display="https://leetcode.com/discuss/post/7415867/"/>
    <hyperlink ref="B58" r:id="rId57" display="https://leetcode.com/discuss/interview-experience/6846218/"/>
    <hyperlink ref="B59" r:id="rId58" display="Agoda posts"/>
    <hyperlink ref="B60" r:id="rId59" display="https://leetcode.com/discuss/post/7289927/"/>
    <hyperlink ref="B61" r:id="rId60" display="https://leetcode.com/discuss/post/6859065/"/>
    <hyperlink ref="B62" r:id="rId61" display="https://leetcode.com/discuss/post/6741948/"/>
    <hyperlink ref="B63" r:id="rId62" display="https://leetcode.com/discuss/post/7377796/"/>
    <hyperlink ref="B64" r:id="rId63" display="https://leetcode.com/discuss/post/6920335/"/>
    <hyperlink ref="B65" r:id="rId64" display="https://leetcode.com/discuss/post/7568444/"/>
    <hyperlink ref="B66" r:id="rId65" display="https://leetcode.com/discuss/post/6274356/"/>
    <hyperlink ref="B67" r:id="rId66" display="https://leetcode.com/discuss/post/6283029/"/>
    <hyperlink ref="B68" r:id="rId67" display="glassdoor Uber Senior SE 2026-06-20, 2026-06-05"/>
    <hyperlink ref="B69" r:id="rId68" display="glassdoor Atlassian Senior SE x3"/>
    <hyperlink ref="B70" r:id="rId69" display="glassdoor Walmart GT Senior SE x3"/>
    <hyperlink ref="B71" r:id="rId70" display="glassdoor Walmart GT Staff x3"/>
    <hyperlink ref="B72" r:id="rId71" display="glassdoor PhonePe Senior SE x2"/>
    <hyperlink ref="B73" r:id="rId72" display="glassdoor Flipkart SDE III page"/>
    <hyperlink ref="B74" r:id="rId73" display="https://leetcode.com/discuss/post/6707615/"/>
    <hyperlink ref="B75" r:id="rId74" display="https://leetcode.com/discuss/post/6695262/"/>
    <hyperlink ref="B76" r:id="rId75" display="https://leetcode.com/discuss/interview-experience/7145692/"/>
    <hyperlink ref="B77" r:id="rId76" display="https://leetcode.com/discuss/post/7542688/"/>
    <hyperlink ref="B78" r:id="rId77" display="https://leetcode.com/discuss/post/6476419/"/>
    <hyperlink ref="B79" r:id="rId78" display="https://leetcode.com/discuss/post/7054525/"/>
    <hyperlink ref="B80" r:id="rId79" display="https://leetcode.com/discuss/post/6912425/"/>
    <hyperlink ref="B81" r:id="rId80" display="https://leetcode.com/discuss/post/8293030/"/>
    <hyperlink ref="B82" r:id="rId81" display="https://leetcode.com/discuss/post/6839272/"/>
    <hyperlink ref="B83" r:id="rId82" display="https://leetcode.com/discuss/post/7414036/"/>
    <hyperlink ref="B84" r:id="rId83" display="https://leetcode.com/discuss/interview-experience/6651036/"/>
    <hyperlink ref="B85" r:id="rId84" location="publicis" display="https://leetcode.com/discuss/post/7185262/#publicis"/>
    <hyperlink ref="B86" r:id="rId85" location="licious" display="https://leetcode.com/discuss/post/8428653/prep-and-interview-exp-for-seniorstaff-l-ki4x/#licious"/>
    <hyperlink ref="B87" r:id="rId86" location="firstclub" display="https://leetcode.com/discuss/post/8428653/prep-and-interview-exp-for-seniorstaff-l-ki4x/#firstclub"/>
    <hyperlink ref="B88" r:id="rId87" location="amazon" display="https://leetcode.com/discuss/post/8428653/prep-and-interview-exp-for-seniorstaff-l-ki4x/#amazon"/>
    <hyperlink ref="B89" r:id="rId88" location="rippling" display="https://leetcode.com/discuss/post/8428653/prep-and-interview-exp-for-seniorstaff-l-ki4x/#rippling"/>
    <hyperlink ref="B90" r:id="rId89" display="https://leetcode.com/discuss/post/7568338/"/>
    <hyperlink ref="B91" r:id="rId90" display="https://leetcode.com/discuss/post/7557196/"/>
    <hyperlink ref="B92" r:id="rId91" display="https://leetcode.com/discuss/post/7472697/"/>
    <hyperlink ref="B93" r:id="rId92" display="https://leetcode.com/discuss/post/6653228/"/>
    <hyperlink ref="B94" r:id="rId93" display="https://leetcode.com/discuss/post/7851087/"/>
    <hyperlink ref="B95" r:id="rId94" display="https://leetcode.com/discuss/post/8533355/"/>
    <hyperlink ref="B96" r:id="rId95" display="https://leetcode.com/discuss/post/7649290/"/>
    <hyperlink ref="B97" r:id="rId96" display="https://leetcode.com/discuss/post/5920164/"/>
    <hyperlink ref="B98" r:id="rId97" display="https://leetcode.com/discuss/post/7239858/"/>
    <hyperlink ref="B99" r:id="rId98" display="https://leetcode.com/discuss/post/7199383/"/>
    <hyperlink ref="B100" r:id="rId99" display="https://leetcode.com/discuss/post/6752522/"/>
    <hyperlink ref="B101" r:id="rId100" display="https://leetcode.com/discuss/post/6777801/"/>
    <hyperlink ref="B102" r:id="rId101" display="https://leetcode.com/discuss/post/7629615/"/>
    <hyperlink ref="B103" r:id="rId102" display="https://leetcode.com/discuss/interview-experience/7197132/"/>
    <hyperlink ref="B104" r:id="rId103" display="https://leetcode.com/discuss/interview-experience/7099587/"/>
    <hyperlink ref="B105" r:id="rId104" display="https://leetcode.com/discuss/interview-experience/7114235/"/>
    <hyperlink ref="B106" r:id="rId105" display="https://leetcode.com/discuss/post/8482149/"/>
    <hyperlink ref="B107" r:id="rId106" location="microsoft" display="https://leetcode.com/discuss/post/7253272/#microsoft"/>
    <hyperlink ref="B108" r:id="rId107" display="https://leetcode.com/discuss/post/7199827/"/>
    <hyperlink ref="B109" r:id="rId108" display="https://leetcode.com/discuss/post/6912254/"/>
    <hyperlink ref="B110" r:id="rId109" display="https://leetcode.com/discuss/post/6413423/"/>
    <hyperlink ref="B111" r:id="rId110" display="https://leetcode.com/discuss/post/6634496/"/>
    <hyperlink ref="B112" r:id="rId111" display="https://leetcode.com/discuss/post/8480569/"/>
    <hyperlink ref="B113" r:id="rId112" display="https://leetcode.com/discuss/post/8269557/"/>
    <hyperlink ref="B114" r:id="rId113" display="https://leetcode.com/discuss/post/8482394/"/>
    <hyperlink ref="B115" r:id="rId114" display="https://leetcode.com/discuss/post/7000178/"/>
    <hyperlink ref="B116" r:id="rId115" display="https://leetcode.com/discuss/post/7619394/"/>
    <hyperlink ref="B117" r:id="rId116" display="https://leetcode.com/discuss/post/7936031/"/>
    <hyperlink ref="B118" r:id="rId117" display="https://leetcode.com/discuss/post/7561138/"/>
    <hyperlink ref="B119" r:id="rId118" display="https://leetcode.com/discuss/post/7202836/"/>
    <hyperlink ref="B120" r:id="rId119" display="https://leetcode.com/discuss/post/7698154/"/>
    <hyperlink ref="B121" r:id="rId120" display="https://leetcode.com/discuss/compensation/7840961/"/>
    <hyperlink ref="B122" r:id="rId121" display="https://leetcode.com/discuss/interview-experience/6982468/"/>
    <hyperlink ref="B123" r:id="rId122" display="https://leetcode.com/discuss/interview-experience/6770402/"/>
    <hyperlink ref="B124" r:id="rId123" display="https://leetcode.com/discuss/post/7529922/"/>
    <hyperlink ref="B125" r:id="rId124" display="https://leetcode.com/discuss/post/7529982/jiohotstar-software-development-engineer-6uz4/"/>
    <hyperlink ref="B126" r:id="rId125" display="https://leetcode.com/discuss/post/5203596/VMware-by-Broadcom-or-MTS3-or-Bengaluru/"/>
    <hyperlink ref="B127" r:id="rId126" display="https://www.jointaro.com/interviews/companies/visa/experiences/senior-software-engineer-bengaluru-karnataka-november-9-2025-no-offer-neutral-fd0733f9/"/>
    <hyperlink ref="B128" r:id="rId127" display="https://www.jointaro.com/interviews/companies/oracle/experiences/senior-software-engineer-bengaluru-december-1-2024-no-offer-negative-7c7b9081/"/>
    <hyperlink ref="B129" r:id="rId128" display="https://www.jointaro.com/interviews/companies/uber/experiences/senior-software-engineer-bengaluru-october-1-2024-accepted-offer-positive-dd2ed38b/"/>
    <hyperlink ref="B130" r:id="rId129" display="https://www.jointaro.com/interviews/companies/juniper-networks/experiences/staff-engineer-bengaluru-karnataka-august-1-2025-no-offer-negative-e28327af/"/>
    <hyperlink ref="B131" r:id="rId130" display="https://www.glassdoor.ie/Interview/Atlassian-Interview-E115699-RVW101312941.htm"/>
    <hyperlink ref="B132" r:id="rId131" display="https://www.glassdoor.co.uk/Interview/Atlassian-Interview-E115699-RVW98851519.htm"/>
    <hyperlink ref="B133" r:id="rId132" display="https://www.glassdoor.com.au/Interview/Salesforce-Interview-E11159-RVW100972443.htm"/>
    <hyperlink ref="B134" r:id="rId133" display="https://www.glassdoor.co.in/Interview/Amazon-Interview-E6036-RVW104074847.htm"/>
    <hyperlink ref="B135" r:id="rId134" display="https://www.glassdoor.co.in/Interview/Walmart-Interview-E715-RVW96816608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2026-10-14T10:49:41Z</dcterms:created>
  <dc:creator>openpyxl</dc:creator>
  <dc:description/>
  <dc:language>en-US</dc:language>
  <cp:lastModifiedBy/>
  <dcterms:modified xsi:type="dcterms:W3CDTF">2026-10-14T10:49:41Z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