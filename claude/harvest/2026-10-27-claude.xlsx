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ompanies" sheetId="2" state="visible" r:id="rId4"/>
    <sheet name="JDs" sheetId="3" state="visible" r:id="rId5"/>
    <sheet name="LinkedIn" sheetId="4" state="visible" r:id="rId6"/>
    <sheet name="Naukri" sheetId="5" state="visible" r:id="rId7"/>
    <sheet name="AI probe" sheetId="6" state="visible" r:id="rId8"/>
    <sheet name="Excluded" sheetId="7" state="visible" r:id="rId9"/>
    <sheet name="Coding" sheetId="8" state="visible" r:id="rId10"/>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Rows from Om's LinkedIn captures only (spec v2.1 section 8); Claude's tools are refused by LinkedIn. Raw pastes: claude/harvest/linkedin/. Not in the Summary sample counts.</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Rows from Om's Naukri captures only (spec v2.1 section 8); Claude's tools are refused by Naukri. Not in the Summary sample counts.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Not run in this pass. No AI-infrastructure search string was used for the counted sample (spec section 3).</t>
        </r>
      </text>
    </comment>
  </commentList>
</comments>
</file>

<file path=xl/sharedStrings.xml><?xml version="1.0" encoding="utf-8"?>
<sst xmlns="http://schemas.openxmlformats.org/spreadsheetml/2006/main" count="6794" uniqueCount="2272">
  <si>
    <t xml:space="preserve">Claude JD harvest, run 1 (India), retrieved 2026-10-27</t>
  </si>
  <si>
    <t xml:space="preserve">Spec: claude/harvest/HARVEST-SPEC-2026-10.md v2.1. All counts below are live formulas over the JDs, Coding and Excluded sheets.</t>
  </si>
  <si>
    <t xml:space="preserve">z for 95% range</t>
  </si>
  <si>
    <t xml:space="preserve">Input: z value for a 95% Wilson score interval.</t>
  </si>
  <si>
    <t xml:space="preserve">Item</t>
  </si>
  <si>
    <t xml:space="preserve">Count</t>
  </si>
  <si>
    <t xml:space="preserve">Of</t>
  </si>
  <si>
    <t xml:space="preserve">Share</t>
  </si>
  <si>
    <t xml:space="preserve">95% low</t>
  </si>
  <si>
    <t xml:space="preserve">95% high</t>
  </si>
  <si>
    <t xml:space="preserve">How counted</t>
  </si>
  <si>
    <t xml:space="preserve">Accepted India JDs</t>
  </si>
  <si>
    <t xml:space="preserve">Rows in JDs (withdrawn ChatGPT-company rows removed).</t>
  </si>
  <si>
    <t xml:space="preserve">Excluded postings read</t>
  </si>
  <si>
    <t xml:space="preserve">Rows in Excluded, incl. 3 withdrawn and unread pages.</t>
  </si>
  <si>
    <t xml:space="preserve">Lane a: Python-led backend infrastructure</t>
  </si>
  <si>
    <t xml:space="preserve">lane column</t>
  </si>
  <si>
    <t xml:space="preserve">Lane b: Go and Kubernetes platform</t>
  </si>
  <si>
    <t xml:space="preserve">Lane c: controllers and operators</t>
  </si>
  <si>
    <t xml:space="preserve">Lane d: data-infrastructure platforms</t>
  </si>
  <si>
    <t xml:space="preserve">Go required (no alternative)</t>
  </si>
  <si>
    <t xml:space="preserve">hand-coded from langs fields</t>
  </si>
  <si>
    <t xml:space="preserve">Go required or one allowed choice</t>
  </si>
  <si>
    <t xml:space="preserve">Go satisfies the language requirement</t>
  </si>
  <si>
    <t xml:space="preserve">Go named at all (incl. preferred)</t>
  </si>
  <si>
    <t xml:space="preserve">Python required (no alternative)</t>
  </si>
  <si>
    <t xml:space="preserve">Python required or one allowed choice</t>
  </si>
  <si>
    <t xml:space="preserve">Python satisfies the language requirement</t>
  </si>
  <si>
    <t xml:space="preserve">Python named at all (incl. preferred)</t>
  </si>
  <si>
    <t xml:space="preserve">Kubernetes required</t>
  </si>
  <si>
    <t xml:space="preserve">named in skills_required</t>
  </si>
  <si>
    <t xml:space="preserve">Kubernetes required or preferred</t>
  </si>
  <si>
    <t xml:space="preserve">Kubernetes controllers or operators required</t>
  </si>
  <si>
    <t xml:space="preserve">k8s_controllers column</t>
  </si>
  <si>
    <t xml:space="preserve">Kubernetes controllers required or preferred</t>
  </si>
  <si>
    <t xml:space="preserve">Helm required</t>
  </si>
  <si>
    <t xml:space="preserve">helm column</t>
  </si>
  <si>
    <t xml:space="preserve">Helm required or preferred</t>
  </si>
  <si>
    <t xml:space="preserve">decides v3.9 F4 together with Om's bar</t>
  </si>
  <si>
    <t xml:space="preserve">Terraform required</t>
  </si>
  <si>
    <t xml:space="preserve">terraform column</t>
  </si>
  <si>
    <t xml:space="preserve">Terraform required or preferred</t>
  </si>
  <si>
    <t xml:space="preserve">Public cloud required</t>
  </si>
  <si>
    <t xml:space="preserve">any provider named in skills_required</t>
  </si>
  <si>
    <t xml:space="preserve">Public cloud required or preferred</t>
  </si>
  <si>
    <t xml:space="preserve">AWS named anywhere in the JD</t>
  </si>
  <si>
    <t xml:space="preserve">skills, cloud or duties</t>
  </si>
  <si>
    <t xml:space="preserve">Production-history screen stated</t>
  </si>
  <si>
    <t xml:space="preserve">prod_history_screen not none</t>
  </si>
  <si>
    <t xml:space="preserve">ai_infra none</t>
  </si>
  <si>
    <t xml:space="preserve">ai_infra app (LLM features, RAG, agents)</t>
  </si>
  <si>
    <t xml:space="preserve">ai_infra platform (GPU, serving, inference on Kubernetes)</t>
  </si>
  <si>
    <t xml:space="preserve">ai_infra engine (CUDA, kernels)</t>
  </si>
  <si>
    <t xml:space="preserve">AI requirement marked required</t>
  </si>
  <si>
    <t xml:space="preserve">includes 'use AI tools in engineering' lines</t>
  </si>
  <si>
    <t xml:space="preserve">AI requirement marked preferred</t>
  </si>
  <si>
    <t xml:space="preserve">Product backend rather than infrastructure</t>
  </si>
  <si>
    <t xml:space="preserve">hand-tagged</t>
  </si>
  <si>
    <t xml:space="preserve">Build share 'half' (ops share large)</t>
  </si>
  <si>
    <t xml:space="preserve">Band risk: minimum years 4 or fewer</t>
  </si>
  <si>
    <t xml:space="preserve">may sit below the 42L fixed gate</t>
  </si>
  <si>
    <t xml:space="preserve">Stretch level (Senior Staff or Principal)</t>
  </si>
  <si>
    <t xml:space="preserve">Wider-internet employer (company_no web)</t>
  </si>
  <si>
    <t xml:space="preserve">not on Claude's 100 list</t>
  </si>
  <si>
    <t xml:space="preserve">Posted date known (exact or day-level)</t>
  </si>
  <si>
    <t xml:space="preserve">posted column has a date</t>
  </si>
  <si>
    <t xml:space="preserve">Posted only as weeks or a month ago (mirror)</t>
  </si>
  <si>
    <t xml:space="preserve">recent, date unknown</t>
  </si>
  <si>
    <t xml:space="preserve">No posted date (open on retrieval)</t>
  </si>
  <si>
    <t xml:space="preserve">kept per spec 3; re-check in W6</t>
  </si>
  <si>
    <t xml:space="preserve">Exclusions by reason group</t>
  </si>
  <si>
    <t xml:space="preserve">closed or removed</t>
  </si>
  <si>
    <t xml:space="preserve">older than 3 months</t>
  </si>
  <si>
    <t xml:space="preserve">not India</t>
  </si>
  <si>
    <t xml:space="preserve">other language required</t>
  </si>
  <si>
    <t xml:space="preserve">SRE, DevOps or ops duties</t>
  </si>
  <si>
    <t xml:space="preserve">years outside fit</t>
  </si>
  <si>
    <t xml:space="preserve">junior</t>
  </si>
  <si>
    <t xml:space="preserve">role identity (not backend infrastructure)</t>
  </si>
  <si>
    <t xml:space="preserve">unread or unverifiable</t>
  </si>
  <si>
    <t xml:space="preserve">withdrawn (ChatGPT company)</t>
  </si>
  <si>
    <t xml:space="preserve">Total (should equal Excluded postings read)</t>
  </si>
  <si>
    <t xml:space="preserve">Lane-size check (plan section 8)</t>
  </si>
  <si>
    <t xml:space="preserve">India roles that fit (accepted)</t>
  </si>
  <si>
    <t xml:space="preserve">Of these, below the band-risk line (min years 4 or fewer)</t>
  </si>
  <si>
    <t xml:space="preserve">Employer-stated fixed pay seen</t>
  </si>
  <si>
    <t xml:space="preserve">Input: no accepted India posting states pay; mirror estimates are excluded by the spec.</t>
  </si>
  <si>
    <t xml:space="preserve">Trigger fires if fewer than 20 fitting India roles</t>
  </si>
  <si>
    <t xml:space="preserve">Count only. Whether each role can meet the 42L fixed gate is not provable from the JDs; see the Levels.fyi snapshot below.</t>
  </si>
  <si>
    <t xml:space="preserve">Levels.fyi Bengaluru Senior SWE snapshot (total comp)</t>
  </si>
  <si>
    <t xml:space="preserve">Retrieved</t>
  </si>
  <si>
    <t xml:space="preserve">2026-10-27 (page says updated Oct 26, 2026)</t>
  </si>
  <si>
    <t xml:space="preserve">25th percentile</t>
  </si>
  <si>
    <t xml:space="preserve">INR 38.6L</t>
  </si>
  <si>
    <t xml:space="preserve">Median</t>
  </si>
  <si>
    <t xml:space="preserve">INR 56.2L</t>
  </si>
  <si>
    <t xml:space="preserve">75th percentile</t>
  </si>
  <si>
    <t xml:space="preserve">INR 80.3L</t>
  </si>
  <si>
    <t xml:space="preserve">90th percentile</t>
  </si>
  <si>
    <t xml:space="preserve">INR 106.6L</t>
  </si>
  <si>
    <t xml:space="preserve">Data points</t>
  </si>
  <si>
    <t xml:space="preserve">4,830</t>
  </si>
  <si>
    <t xml:space="preserve">Basis</t>
  </si>
  <si>
    <t xml:space="preserve">total compensation (base + yearly stock + bonus); the 42L gate is fixed cash, so not directly comparable</t>
  </si>
  <si>
    <t xml:space="preserve">Source</t>
  </si>
  <si>
    <t xml:space="preserve">https://www.levels.fyi/t/software-engineer/levels/senior/locations/bengaluru-ind</t>
  </si>
  <si>
    <t xml:space="preserve">Plan section 3 value (Dec 2025)</t>
  </si>
  <si>
    <t xml:space="preserve">25th 36.3L, median 53.5L, 75th 77.4L</t>
  </si>
  <si>
    <t xml:space="preserve">Om's captures (outside the sample above)</t>
  </si>
  <si>
    <t xml:space="preserve">Accepted from Om's LinkedIn captures</t>
  </si>
  <si>
    <t xml:space="preserve">LinkedIn sheet; from Om's alerts, not the lane strings</t>
  </si>
  <si>
    <t xml:space="preserve">Accepted from Om's Naukri captures</t>
  </si>
  <si>
    <t xml:space="preserve">Naukri sheet</t>
  </si>
  <si>
    <t xml:space="preserve">Limits of this sample</t>
  </si>
  <si>
    <t xml:space="preserve">LinkedIn and Naukri unreadable by Claude's tools: Indian product companies (Flipkart, PhonePe, CRED, Groww, Zerodha, Dream11 and others) are under-represented.</t>
  </si>
  <si>
    <t xml:space="preserve">Readable sources skew to GCCs and SaaS on Greenhouse, Lever, Workday mirrors (Dreamwork), Built In and Getro boards.</t>
  </si>
  <si>
    <t xml:space="preserve">Search strings targeted platform, Kubernetes, Go and Python backend roles, so lane and skill shares describe this filtered set, not the whole market.</t>
  </si>
  <si>
    <t xml:space="preserve">Coding of Go, Python, product-backend and band risk is Claude's hand coding; every row keeps its source wording in JDs.</t>
  </si>
  <si>
    <t xml:space="preserve">IDs CL-043, CL-053 and CL-070 are withdrawn (company on ChatGPT's list), so JDs has gaps in numbering.</t>
  </si>
  <si>
    <t xml:space="preserve">no</t>
  </si>
  <si>
    <t xml:space="preserve">company</t>
  </si>
  <si>
    <t xml:space="preserve">group</t>
  </si>
  <si>
    <t xml:space="preserve">searched_on</t>
  </si>
  <si>
    <t xml:space="preserve">postings_read</t>
  </si>
  <si>
    <t xml:space="preserve">accepted</t>
  </si>
  <si>
    <t xml:space="preserve">result_note</t>
  </si>
  <si>
    <t xml:space="preserve">C001</t>
  </si>
  <si>
    <t xml:space="preserve">Nutanix</t>
  </si>
  <si>
    <t xml:space="preserve">Infra, cloud, storage, network, security, AI infra</t>
  </si>
  <si>
    <t xml:space="preserve">2026-10-27</t>
  </si>
  <si>
    <t xml:space="preserve">2 accepted</t>
  </si>
  <si>
    <t xml:space="preserve">C002</t>
  </si>
  <si>
    <t xml:space="preserve">Broadcom (VMware)</t>
  </si>
  <si>
    <t xml:space="preserve">no fitting posting read; exclusions: closed or removed 1</t>
  </si>
  <si>
    <t xml:space="preserve">C003</t>
  </si>
  <si>
    <t xml:space="preserve">Cisco</t>
  </si>
  <si>
    <t xml:space="preserve">C004</t>
  </si>
  <si>
    <t xml:space="preserve">Red Hat (IBM group, flag)</t>
  </si>
  <si>
    <t xml:space="preserve">1 accepted</t>
  </si>
  <si>
    <t xml:space="preserve">C005</t>
  </si>
  <si>
    <t xml:space="preserve">Oracle (OCI)</t>
  </si>
  <si>
    <t xml:space="preserve">C006</t>
  </si>
  <si>
    <t xml:space="preserve">NetApp</t>
  </si>
  <si>
    <t xml:space="preserve">C007</t>
  </si>
  <si>
    <t xml:space="preserve">Pure Storage</t>
  </si>
  <si>
    <t xml:space="preserve">5 accepted</t>
  </si>
  <si>
    <t xml:space="preserve">C008</t>
  </si>
  <si>
    <t xml:space="preserve">Dell Technologies</t>
  </si>
  <si>
    <t xml:space="preserve">no fitting posting read; exclusions: closed or removed 2, unread or unverifiable 1</t>
  </si>
  <si>
    <t xml:space="preserve">C009</t>
  </si>
  <si>
    <t xml:space="preserve">Hewlett Packard Enterprise</t>
  </si>
  <si>
    <t xml:space="preserve">C010</t>
  </si>
  <si>
    <t xml:space="preserve">Arista Networks</t>
  </si>
  <si>
    <t xml:space="preserve">no fitting posting read; exclusions: closed or removed 2</t>
  </si>
  <si>
    <t xml:space="preserve">C011</t>
  </si>
  <si>
    <t xml:space="preserve">F5</t>
  </si>
  <si>
    <t xml:space="preserve">C012</t>
  </si>
  <si>
    <t xml:space="preserve">Palo Alto Networks</t>
  </si>
  <si>
    <t xml:space="preserve">C013</t>
  </si>
  <si>
    <t xml:space="preserve">Zscaler</t>
  </si>
  <si>
    <t xml:space="preserve">C014</t>
  </si>
  <si>
    <t xml:space="preserve">CrowdStrike</t>
  </si>
  <si>
    <t xml:space="preserve">no fitting posting read; exclusions: closed or removed 2, older than 3 months 1</t>
  </si>
  <si>
    <t xml:space="preserve">C015</t>
  </si>
  <si>
    <t xml:space="preserve">Akamai</t>
  </si>
  <si>
    <t xml:space="preserve">no fitting posting read; exclusions: unread or unverifiable 2, not India 2</t>
  </si>
  <si>
    <t xml:space="preserve">C016</t>
  </si>
  <si>
    <t xml:space="preserve">Netskope</t>
  </si>
  <si>
    <t xml:space="preserve">no fitting posting read; exclusions: older than 3 months 1, closed or removed 1</t>
  </si>
  <si>
    <t xml:space="preserve">C017</t>
  </si>
  <si>
    <t xml:space="preserve">Rubrik</t>
  </si>
  <si>
    <t xml:space="preserve">C018</t>
  </si>
  <si>
    <t xml:space="preserve">Cohesity</t>
  </si>
  <si>
    <t xml:space="preserve">C019</t>
  </si>
  <si>
    <t xml:space="preserve">Druva</t>
  </si>
  <si>
    <t xml:space="preserve">no fitting posting read; exclusions: closed or removed 1, years outside fit 1</t>
  </si>
  <si>
    <t xml:space="preserve">C020</t>
  </si>
  <si>
    <t xml:space="preserve">Commvault</t>
  </si>
  <si>
    <t xml:space="preserve">Commvault India Greenhouse roles read: C#, C++ and DevOps only, apart from the accepted Clumio backend role.</t>
  </si>
  <si>
    <t xml:space="preserve">C021</t>
  </si>
  <si>
    <t xml:space="preserve">NVIDIA</t>
  </si>
  <si>
    <t xml:space="preserve">no fitting posting read; exclusions: not India 3, older than 3 months 1</t>
  </si>
  <si>
    <t xml:space="preserve">C022</t>
  </si>
  <si>
    <t xml:space="preserve">AMD</t>
  </si>
  <si>
    <t xml:space="preserve">C023</t>
  </si>
  <si>
    <t xml:space="preserve">Intel</t>
  </si>
  <si>
    <t xml:space="preserve">no fitting posting read; exclusions: unread or unverifiable 1</t>
  </si>
  <si>
    <t xml:space="preserve">C024</t>
  </si>
  <si>
    <t xml:space="preserve">DigitalOcean</t>
  </si>
  <si>
    <t xml:space="preserve">3 accepted</t>
  </si>
  <si>
    <t xml:space="preserve">C025</t>
  </si>
  <si>
    <t xml:space="preserve">Sarvam AI</t>
  </si>
  <si>
    <t xml:space="preserve">C026</t>
  </si>
  <si>
    <t xml:space="preserve">Krutrim</t>
  </si>
  <si>
    <t xml:space="preserve">C027</t>
  </si>
  <si>
    <t xml:space="preserve">MongoDB</t>
  </si>
  <si>
    <t xml:space="preserve">Databases and data infrastructure</t>
  </si>
  <si>
    <t xml:space="preserve">C028</t>
  </si>
  <si>
    <t xml:space="preserve">Elastic</t>
  </si>
  <si>
    <t xml:space="preserve">no fitting posting read; exclusions: not India 2</t>
  </si>
  <si>
    <t xml:space="preserve">C029</t>
  </si>
  <si>
    <t xml:space="preserve">Couchbase</t>
  </si>
  <si>
    <t xml:space="preserve">no fitting posting read; exclusions: SRE, DevOps or ops duties 1, closed or removed 1</t>
  </si>
  <si>
    <t xml:space="preserve">C030</t>
  </si>
  <si>
    <t xml:space="preserve">Databricks</t>
  </si>
  <si>
    <t xml:space="preserve">4 accepted</t>
  </si>
  <si>
    <t xml:space="preserve">C031</t>
  </si>
  <si>
    <t xml:space="preserve">Snowflake</t>
  </si>
  <si>
    <t xml:space="preserve">no fitting posting read; exclusions: not India 2, closed or removed 1</t>
  </si>
  <si>
    <t xml:space="preserve">C032</t>
  </si>
  <si>
    <t xml:space="preserve">Teradata</t>
  </si>
  <si>
    <t xml:space="preserve">not reached in this run; check LinkedIn/Naukri (Om) and re-run in W6</t>
  </si>
  <si>
    <t xml:space="preserve">C033</t>
  </si>
  <si>
    <t xml:space="preserve">Informatica</t>
  </si>
  <si>
    <t xml:space="preserve">C034</t>
  </si>
  <si>
    <t xml:space="preserve">Cloudera</t>
  </si>
  <si>
    <t xml:space="preserve">C035</t>
  </si>
  <si>
    <t xml:space="preserve">ThoughtSpot</t>
  </si>
  <si>
    <t xml:space="preserve">no fitting posting read; exclusions: closed or removed 1, unread or unverifiable 1</t>
  </si>
  <si>
    <t xml:space="preserve">C036</t>
  </si>
  <si>
    <t xml:space="preserve">Atlassian</t>
  </si>
  <si>
    <t xml:space="preserve">Software platforms, SaaS, developer tools</t>
  </si>
  <si>
    <t xml:space="preserve">C037</t>
  </si>
  <si>
    <t xml:space="preserve">ServiceNow</t>
  </si>
  <si>
    <t xml:space="preserve">C038</t>
  </si>
  <si>
    <t xml:space="preserve">Salesforce</t>
  </si>
  <si>
    <t xml:space="preserve">no fitting posting read; exclusions: years outside fit 1, unread or unverifiable 1</t>
  </si>
  <si>
    <t xml:space="preserve">C039</t>
  </si>
  <si>
    <t xml:space="preserve">Adobe</t>
  </si>
  <si>
    <t xml:space="preserve">no fitting posting read; exclusions: unread or unverifiable 2, role identity (not backend infrastructure) 1</t>
  </si>
  <si>
    <t xml:space="preserve">C040</t>
  </si>
  <si>
    <t xml:space="preserve">Intuit</t>
  </si>
  <si>
    <t xml:space="preserve">C041</t>
  </si>
  <si>
    <t xml:space="preserve">SAP Labs India</t>
  </si>
  <si>
    <t xml:space="preserve">no fitting posting read; exclusions: older than 3 months 1</t>
  </si>
  <si>
    <t xml:space="preserve">C042</t>
  </si>
  <si>
    <t xml:space="preserve">Freshworks</t>
  </si>
  <si>
    <t xml:space="preserve">C043</t>
  </si>
  <si>
    <t xml:space="preserve">Postman</t>
  </si>
  <si>
    <t xml:space="preserve">C044</t>
  </si>
  <si>
    <t xml:space="preserve">Harness</t>
  </si>
  <si>
    <t xml:space="preserve">no fitting posting read; exclusions: junior 1, other language required 1</t>
  </si>
  <si>
    <t xml:space="preserve">C045</t>
  </si>
  <si>
    <t xml:space="preserve">Sprinklr</t>
  </si>
  <si>
    <t xml:space="preserve">C046</t>
  </si>
  <si>
    <t xml:space="preserve">Chargebee</t>
  </si>
  <si>
    <t xml:space="preserve">C047</t>
  </si>
  <si>
    <t xml:space="preserve">Rippling</t>
  </si>
  <si>
    <t xml:space="preserve">C048</t>
  </si>
  <si>
    <t xml:space="preserve">Twilio</t>
  </si>
  <si>
    <t xml:space="preserve">no fitting posting read; exclusions: not India 2, unread or unverifiable 1</t>
  </si>
  <si>
    <t xml:space="preserve">C049</t>
  </si>
  <si>
    <t xml:space="preserve">Okta</t>
  </si>
  <si>
    <t xml:space="preserve">C050</t>
  </si>
  <si>
    <t xml:space="preserve">Workday</t>
  </si>
  <si>
    <t xml:space="preserve">no fitting posting read; exclusions: not India 3, unread or unverifiable 1</t>
  </si>
  <si>
    <t xml:space="preserve">C051</t>
  </si>
  <si>
    <t xml:space="preserve">Uber</t>
  </si>
  <si>
    <t xml:space="preserve">C052</t>
  </si>
  <si>
    <t xml:space="preserve">Stripe</t>
  </si>
  <si>
    <t xml:space="preserve">C053</t>
  </si>
  <si>
    <t xml:space="preserve">Coinbase</t>
  </si>
  <si>
    <t xml:space="preserve">C054</t>
  </si>
  <si>
    <t xml:space="preserve">PayPal</t>
  </si>
  <si>
    <t xml:space="preserve">Banks, payments and retail tech centres (GCCs)</t>
  </si>
  <si>
    <t xml:space="preserve">C055</t>
  </si>
  <si>
    <t xml:space="preserve">Visa</t>
  </si>
  <si>
    <t xml:space="preserve">C056</t>
  </si>
  <si>
    <t xml:space="preserve">Mastercard</t>
  </si>
  <si>
    <t xml:space="preserve">no fitting posting read; exclusions: SRE, DevOps or ops duties 2, other language required 2</t>
  </si>
  <si>
    <t xml:space="preserve">C057</t>
  </si>
  <si>
    <t xml:space="preserve">American Express</t>
  </si>
  <si>
    <t xml:space="preserve">C058</t>
  </si>
  <si>
    <t xml:space="preserve">JPMorgan Chase</t>
  </si>
  <si>
    <t xml:space="preserve">C059</t>
  </si>
  <si>
    <t xml:space="preserve">Goldman Sachs</t>
  </si>
  <si>
    <t xml:space="preserve">C060</t>
  </si>
  <si>
    <t xml:space="preserve">Morgan Stanley</t>
  </si>
  <si>
    <t xml:space="preserve">C061</t>
  </si>
  <si>
    <t xml:space="preserve">Deutsche Bank</t>
  </si>
  <si>
    <t xml:space="preserve">no fitting posting read; exclusions: other language required 1</t>
  </si>
  <si>
    <t xml:space="preserve">C062</t>
  </si>
  <si>
    <t xml:space="preserve">Wells Fargo</t>
  </si>
  <si>
    <t xml:space="preserve">C063</t>
  </si>
  <si>
    <t xml:space="preserve">Fidelity Investments</t>
  </si>
  <si>
    <t xml:space="preserve">C064</t>
  </si>
  <si>
    <t xml:space="preserve">Arcesium</t>
  </si>
  <si>
    <t xml:space="preserve">C065</t>
  </si>
  <si>
    <t xml:space="preserve">D. E. Shaw India</t>
  </si>
  <si>
    <t xml:space="preserve">C066</t>
  </si>
  <si>
    <t xml:space="preserve">Walmart Global Tech India</t>
  </si>
  <si>
    <t xml:space="preserve">C067</t>
  </si>
  <si>
    <t xml:space="preserve">Target India</t>
  </si>
  <si>
    <t xml:space="preserve">C068</t>
  </si>
  <si>
    <t xml:space="preserve">Lowe's India</t>
  </si>
  <si>
    <t xml:space="preserve">no fitting posting read; exclusions: unread or unverifiable 1, other language required 1</t>
  </si>
  <si>
    <t xml:space="preserve">C069</t>
  </si>
  <si>
    <t xml:space="preserve">Tesco Technology</t>
  </si>
  <si>
    <t xml:space="preserve">C070</t>
  </si>
  <si>
    <t xml:space="preserve">Expedia Group</t>
  </si>
  <si>
    <t xml:space="preserve">no fitting posting read; exclusions: unread or unverifiable 4</t>
  </si>
  <si>
    <t xml:space="preserve">C071</t>
  </si>
  <si>
    <t xml:space="preserve">Flipkart</t>
  </si>
  <si>
    <t xml:space="preserve">Indian product companies</t>
  </si>
  <si>
    <t xml:space="preserve">Searched (search engine and readable boards): no readable Flipkart posting found; likely LinkedIn, Naukri or own portal. Needs Om's LinkedIn/Naukri capture.</t>
  </si>
  <si>
    <t xml:space="preserve">C072</t>
  </si>
  <si>
    <t xml:space="preserve">Razorpay</t>
  </si>
  <si>
    <t xml:space="preserve">Razorpay Greenhouse page 1 read: DevOps, DBA, security and AI builder roles; one Lead SDE accepted.</t>
  </si>
  <si>
    <t xml:space="preserve">C073</t>
  </si>
  <si>
    <t xml:space="preserve">PhonePe</t>
  </si>
  <si>
    <t xml:space="preserve">Searched: results were Instahyre and aggregator pages (unreadable or not the employer); one Greenhouse link was a 1-3 year role. Needs Om's capture.</t>
  </si>
  <si>
    <t xml:space="preserve">C074</t>
  </si>
  <si>
    <t xml:space="preserve">Paytm</t>
  </si>
  <si>
    <t xml:space="preserve">no fitting posting read; exclusions: unread or unverifiable 2, not India 1</t>
  </si>
  <si>
    <t xml:space="preserve">C075</t>
  </si>
  <si>
    <t xml:space="preserve">CRED</t>
  </si>
  <si>
    <t xml:space="preserve">CRED Lever board read: only 2 engineering roles, both security (Cloud Security, Threat Detection). No fitting role.</t>
  </si>
  <si>
    <t xml:space="preserve">C076</t>
  </si>
  <si>
    <t xml:space="preserve">Groww</t>
  </si>
  <si>
    <t xml:space="preserve">Searched: no readable Groww posting found. Needs Om's capture.</t>
  </si>
  <si>
    <t xml:space="preserve">C077</t>
  </si>
  <si>
    <t xml:space="preserve">Zerodha</t>
  </si>
  <si>
    <t xml:space="preserve">Searched: no readable Zerodha posting found. Needs Om's capture.</t>
  </si>
  <si>
    <t xml:space="preserve">C078</t>
  </si>
  <si>
    <t xml:space="preserve">Swiggy</t>
  </si>
  <si>
    <t xml:space="preserve">C079</t>
  </si>
  <si>
    <t xml:space="preserve">Eternal (Zomato, Blinkit)</t>
  </si>
  <si>
    <t xml:space="preserve">C080</t>
  </si>
  <si>
    <t xml:space="preserve">Meesho</t>
  </si>
  <si>
    <t xml:space="preserve">Meesho Lever board read: 13 tech roles, mostly managers, data science and security; SDE III Data excluded (5-8 years).</t>
  </si>
  <si>
    <t xml:space="preserve">C081</t>
  </si>
  <si>
    <t xml:space="preserve">Myntra</t>
  </si>
  <si>
    <t xml:space="preserve">C082</t>
  </si>
  <si>
    <t xml:space="preserve">Ola (ANI Technologies)</t>
  </si>
  <si>
    <t xml:space="preserve">C083</t>
  </si>
  <si>
    <t xml:space="preserve">Juspay</t>
  </si>
  <si>
    <t xml:space="preserve">Juspay careers page is a generic listing with no title, level or date.</t>
  </si>
  <si>
    <t xml:space="preserve">C084</t>
  </si>
  <si>
    <t xml:space="preserve">Zeta</t>
  </si>
  <si>
    <t xml:space="preserve">Zeta Lever board read: SRE, network, security and database roles only (some are Zeta Global, US). No fitting role.</t>
  </si>
  <si>
    <t xml:space="preserve">C085</t>
  </si>
  <si>
    <t xml:space="preserve">Navi</t>
  </si>
  <si>
    <t xml:space="preserve">C086</t>
  </si>
  <si>
    <t xml:space="preserve">Acko</t>
  </si>
  <si>
    <t xml:space="preserve">C087</t>
  </si>
  <si>
    <t xml:space="preserve">Urban Company</t>
  </si>
  <si>
    <t xml:space="preserve">C088</t>
  </si>
  <si>
    <t xml:space="preserve">Delhivery</t>
  </si>
  <si>
    <t xml:space="preserve">C089</t>
  </si>
  <si>
    <t xml:space="preserve">Udaan</t>
  </si>
  <si>
    <t xml:space="preserve">C090</t>
  </si>
  <si>
    <t xml:space="preserve">Dream Sports (Dream11)</t>
  </si>
  <si>
    <t xml:space="preserve">Searched: Dream11 postings found only on Instahyre and startup.jobs (unreadable). Needs Om's capture.</t>
  </si>
  <si>
    <t xml:space="preserve">C091</t>
  </si>
  <si>
    <t xml:space="preserve">Games24x7</t>
  </si>
  <si>
    <t xml:space="preserve">C092</t>
  </si>
  <si>
    <t xml:space="preserve">ShareChat</t>
  </si>
  <si>
    <t xml:space="preserve">C093</t>
  </si>
  <si>
    <t xml:space="preserve">InMobi</t>
  </si>
  <si>
    <t xml:space="preserve">C094</t>
  </si>
  <si>
    <t xml:space="preserve">JioStar (Hotstar)</t>
  </si>
  <si>
    <t xml:space="preserve">C095</t>
  </si>
  <si>
    <t xml:space="preserve">Nykaa</t>
  </si>
  <si>
    <t xml:space="preserve">C096</t>
  </si>
  <si>
    <t xml:space="preserve">Lenskart</t>
  </si>
  <si>
    <t xml:space="preserve">C097</t>
  </si>
  <si>
    <t xml:space="preserve">MakeMyTrip</t>
  </si>
  <si>
    <t xml:space="preserve">C098</t>
  </si>
  <si>
    <t xml:space="preserve">Airtel (Xtelify)</t>
  </si>
  <si>
    <t xml:space="preserve">C099</t>
  </si>
  <si>
    <t xml:space="preserve">Jio Platforms</t>
  </si>
  <si>
    <t xml:space="preserve">C100</t>
  </si>
  <si>
    <t xml:space="preserve">slice</t>
  </si>
  <si>
    <t xml:space="preserve">Dreamwork 'Slice' page could not be tied to the Indian fintech slice; not used.</t>
  </si>
  <si>
    <t xml:space="preserve">web</t>
  </si>
  <si>
    <t xml:space="preserve">Roku</t>
  </si>
  <si>
    <t xml:space="preserve">wider internet (section 2.4)</t>
  </si>
  <si>
    <t xml:space="preserve">Nirmata</t>
  </si>
  <si>
    <t xml:space="preserve">Infoblox</t>
  </si>
  <si>
    <t xml:space="preserve">Nasuni</t>
  </si>
  <si>
    <t xml:space="preserve">Coupang</t>
  </si>
  <si>
    <t xml:space="preserve">Endor Labs</t>
  </si>
  <si>
    <t xml:space="preserve">Coursera</t>
  </si>
  <si>
    <t xml:space="preserve">Nexla</t>
  </si>
  <si>
    <t xml:space="preserve">Together AI</t>
  </si>
  <si>
    <t xml:space="preserve">Onehouse</t>
  </si>
  <si>
    <t xml:space="preserve">EarnIn</t>
  </si>
  <si>
    <t xml:space="preserve">StarTree</t>
  </si>
  <si>
    <t xml:space="preserve">on ChatGPT's list: rows withdrawn</t>
  </si>
  <si>
    <t xml:space="preserve">GitLab</t>
  </si>
  <si>
    <t xml:space="preserve">New Relic</t>
  </si>
  <si>
    <t xml:space="preserve">Affirm</t>
  </si>
  <si>
    <t xml:space="preserve">Atomicwork</t>
  </si>
  <si>
    <t xml:space="preserve">Tradeweb</t>
  </si>
  <si>
    <t xml:space="preserve">Netradyne</t>
  </si>
  <si>
    <t xml:space="preserve">unknown (Dreamwork listing)</t>
  </si>
  <si>
    <t xml:space="preserve">Equinix</t>
  </si>
  <si>
    <t xml:space="preserve">Emergent Labs</t>
  </si>
  <si>
    <t xml:space="preserve">Natus Sensory</t>
  </si>
  <si>
    <t xml:space="preserve">Conviva</t>
  </si>
  <si>
    <t xml:space="preserve">Anaplan</t>
  </si>
  <si>
    <t xml:space="preserve">Warner Bros. Discovery</t>
  </si>
  <si>
    <t xml:space="preserve">Hevo Data</t>
  </si>
  <si>
    <t xml:space="preserve">Granica</t>
  </si>
  <si>
    <t xml:space="preserve">Apollo.io</t>
  </si>
  <si>
    <t xml:space="preserve">Supabase</t>
  </si>
  <si>
    <t xml:space="preserve">Axiamatic</t>
  </si>
  <si>
    <t xml:space="preserve">Qualys</t>
  </si>
  <si>
    <t xml:space="preserve">Telstra</t>
  </si>
  <si>
    <t xml:space="preserve">Autodesk</t>
  </si>
  <si>
    <t xml:space="preserve">Thales</t>
  </si>
  <si>
    <t xml:space="preserve">Hanna Robulets (Dreamwork listing)</t>
  </si>
  <si>
    <t xml:space="preserve">Rupeek</t>
  </si>
  <si>
    <t xml:space="preserve">100ms</t>
  </si>
  <si>
    <t xml:space="preserve">Omnissa (VMware Workspace ONE)</t>
  </si>
  <si>
    <t xml:space="preserve">HighLevel</t>
  </si>
  <si>
    <t xml:space="preserve">Sezzle</t>
  </si>
  <si>
    <t xml:space="preserve">Akuity</t>
  </si>
  <si>
    <t xml:space="preserve">RapidFort</t>
  </si>
  <si>
    <t xml:space="preserve">eBay</t>
  </si>
  <si>
    <t xml:space="preserve">Yugabyte</t>
  </si>
  <si>
    <t xml:space="preserve">Grab</t>
  </si>
  <si>
    <t xml:space="preserve">Grafana Labs</t>
  </si>
  <si>
    <t xml:space="preserve">Confluent</t>
  </si>
  <si>
    <t xml:space="preserve">HackerRank</t>
  </si>
  <si>
    <t xml:space="preserve">AlphaSense</t>
  </si>
  <si>
    <t xml:space="preserve">Kaseya</t>
  </si>
  <si>
    <t xml:space="preserve">Acceldata</t>
  </si>
  <si>
    <t xml:space="preserve">IG Group</t>
  </si>
  <si>
    <t xml:space="preserve">Cleo</t>
  </si>
  <si>
    <t xml:space="preserve">id</t>
  </si>
  <si>
    <t xml:space="preserve">company_no</t>
  </si>
  <si>
    <t xml:space="preserve">region</t>
  </si>
  <si>
    <t xml:space="preserve">country</t>
  </si>
  <si>
    <t xml:space="preserve">city</t>
  </si>
  <si>
    <t xml:space="preserve">employer</t>
  </si>
  <si>
    <t xml:space="preserve">title</t>
  </si>
  <si>
    <t xml:space="preserve">req_id</t>
  </si>
  <si>
    <t xml:space="preserve">url</t>
  </si>
  <si>
    <t xml:space="preserve">source</t>
  </si>
  <si>
    <t xml:space="preserve">retrieved</t>
  </si>
  <si>
    <t xml:space="preserve">posted</t>
  </si>
  <si>
    <t xml:space="preserve">status</t>
  </si>
  <si>
    <t xml:space="preserve">work_summary</t>
  </si>
  <si>
    <t xml:space="preserve">build_share</t>
  </si>
  <si>
    <t xml:space="preserve">level</t>
  </si>
  <si>
    <t xml:space="preserve">years_asked</t>
  </si>
  <si>
    <t xml:space="preserve">langs_required</t>
  </si>
  <si>
    <t xml:space="preserve">langs_alt_or_optional</t>
  </si>
  <si>
    <t xml:space="preserve">skills_required</t>
  </si>
  <si>
    <t xml:space="preserve">skills_preferred</t>
  </si>
  <si>
    <t xml:space="preserve">lane</t>
  </si>
  <si>
    <t xml:space="preserve">prod_history_screen</t>
  </si>
  <si>
    <t xml:space="preserve">om_evidence</t>
  </si>
  <si>
    <t xml:space="preserve">work_model</t>
  </si>
  <si>
    <t xml:space="preserve">pay_stated</t>
  </si>
  <si>
    <t xml:space="preserve">english_team</t>
  </si>
  <si>
    <t xml:space="preserve">local_language</t>
  </si>
  <si>
    <t xml:space="preserve">language_years_screen</t>
  </si>
  <si>
    <t xml:space="preserve">interview_format</t>
  </si>
  <si>
    <t xml:space="preserve">where_held</t>
  </si>
  <si>
    <t xml:space="preserve">india_candidates</t>
  </si>
  <si>
    <t xml:space="preserve">ai_infra</t>
  </si>
  <si>
    <t xml:space="preserve">ai_terms</t>
  </si>
  <si>
    <t xml:space="preserve">ai_req</t>
  </si>
  <si>
    <t xml:space="preserve">helm</t>
  </si>
  <si>
    <t xml:space="preserve">public_cloud</t>
  </si>
  <si>
    <t xml:space="preserve">terraform</t>
  </si>
  <si>
    <t xml:space="preserve">k8s_controllers</t>
  </si>
  <si>
    <t xml:space="preserve">notes</t>
  </si>
  <si>
    <t xml:space="preserve">CL-001</t>
  </si>
  <si>
    <t xml:space="preserve">India</t>
  </si>
  <si>
    <t xml:space="preserve">Bengaluru</t>
  </si>
  <si>
    <t xml:space="preserve">Senior Software Engineer (Golang and Kubernetes)</t>
  </si>
  <si>
    <t xml:space="preserve">130878-en_US</t>
  </si>
  <si>
    <t xml:space="preserve">https://careers.netapp.com/job/bengaluru/senior-software-engineer-golang-and-kubernetes/27600/82076511936</t>
  </si>
  <si>
    <t xml:space="preserve">career page</t>
  </si>
  <si>
    <t xml:space="preserve">unknown</t>
  </si>
  <si>
    <t xml:space="preserve">open</t>
  </si>
  <si>
    <t xml:space="preserve">Build Trident, NetApp open-source dynamic storage provisioner for Kubernetes, and drive its upstream adoption</t>
  </si>
  <si>
    <t xml:space="preserve">most</t>
  </si>
  <si>
    <t xml:space="preserve">Senior</t>
  </si>
  <si>
    <t xml:space="preserve">8-11</t>
  </si>
  <si>
    <t xml:space="preserve">Go; Python</t>
  </si>
  <si>
    <t xml:space="preserve">none</t>
  </si>
  <si>
    <t xml:space="preserve">Go (product); Python (product); Kubernetes in depth (capability); AWS, GCP and Azure working knowledge (product); cloud-native storage (capability); test automation (capability); debugging and performance analysis (capability)</t>
  </si>
  <si>
    <t xml:space="preserve">b</t>
  </si>
  <si>
    <t xml:space="preserve">hybrid</t>
  </si>
  <si>
    <t xml:space="preserve">n/a</t>
  </si>
  <si>
    <t xml:space="preserve">AWS, GCP and Azure required (working knowledge)</t>
  </si>
  <si>
    <t xml:space="preserve">Responsibilities section empty on the page; lane b because the product is Kubernetes storage provisioning in Go; open-source upstream work</t>
  </si>
  <si>
    <t xml:space="preserve">CL-002</t>
  </si>
  <si>
    <t xml:space="preserve">Senior Software Engineer (Cloud-Native Services, Go, Kubernetes, AWS/Azure)</t>
  </si>
  <si>
    <t xml:space="preserve">135670</t>
  </si>
  <si>
    <t xml:space="preserve">https://jobs.netapp.com/job/Bangalore%2C-Karnataka-Senior-Software-Engineer-%28Cloud-Native-Services%2C-Go%2C-Kubernetes%2C-AWSAzure%29/1407518000/</t>
  </si>
  <si>
    <t xml:space="preserve">Build and run cloud-scale distributed services for Azure NetApp Files, from development to production reliability</t>
  </si>
  <si>
    <t xml:space="preserve">8+ (3+ in storage or data management)</t>
  </si>
  <si>
    <t xml:space="preserve">Go</t>
  </si>
  <si>
    <t xml:space="preserve">Python expected; C/C++, C#, React, TypeScript desirable</t>
  </si>
  <si>
    <t xml:space="preserve">Go (product); REST APIs (capability); microservices (capability); Kubernetes and containers (product); CI/CD (capability); observability (capability); distributed systems (capability); storage or data protection (capability)</t>
  </si>
  <si>
    <t xml:space="preserve">C/C++ (product); C# (product); React (product); TypeScript (product)</t>
  </si>
  <si>
    <t xml:space="preserve">d</t>
  </si>
  <si>
    <t xml:space="preserve">large-scale production environments; 3+ years on storage or data platforms</t>
  </si>
  <si>
    <t xml:space="preserve">IBM Cloud Databases classic, managed databases on Kubernetes in production (per plan s2, Om to confirm)</t>
  </si>
  <si>
    <t xml:space="preserve">AI-native engineering practices (general mention only)</t>
  </si>
  <si>
    <t xml:space="preserve">Azure, AWS or GCP required</t>
  </si>
  <si>
    <t xml:space="preserve">lane d: storage data-platform software, building is the main duty</t>
  </si>
  <si>
    <t xml:space="preserve">CL-003</t>
  </si>
  <si>
    <t xml:space="preserve">Pure Storage (Everpure)</t>
  </si>
  <si>
    <t xml:space="preserve">Member of Technical Staff, Backend - Portworx Enterprise</t>
  </si>
  <si>
    <t xml:space="preserve">8053512 (Greenhouse job ID)</t>
  </si>
  <si>
    <t xml:space="preserve">https://job-boards.greenhouse.io/purestorage/jobs/8053512</t>
  </si>
  <si>
    <t xml:space="preserve">ATS</t>
  </si>
  <si>
    <t xml:space="preserve">Design and build cloud-native microservices for Portworx Kubernetes storage, owning them across distributed systems of thousands of nodes</t>
  </si>
  <si>
    <t xml:space="preserve">MTS (not stated as Senior)</t>
  </si>
  <si>
    <t xml:space="preserve">4+</t>
  </si>
  <si>
    <t xml:space="preserve">none named</t>
  </si>
  <si>
    <t xml:space="preserve">Go preferred</t>
  </si>
  <si>
    <t xml:space="preserve">microservices (capability); cloud-native platforms (capability); distributed systems at thousands of nodes (capability); debugging at scale in public or private cloud (capability); data structures, algorithms and design (capability)</t>
  </si>
  <si>
    <t xml:space="preserve">Go (product)</t>
  </si>
  <si>
    <t xml:space="preserve">customer deployments and production-quality software (no years screen)</t>
  </si>
  <si>
    <t xml:space="preserve">IBM IKS upgrades across 200-300 clusters, production (per plan s2, Om to confirm)</t>
  </si>
  <si>
    <t xml:space="preserve">onsite</t>
  </si>
  <si>
    <t xml:space="preserve">AI tooling for debugging (general)</t>
  </si>
  <si>
    <t xml:space="preserve">public or private cloud debugging (no provider)</t>
  </si>
  <si>
    <t xml:space="preserve">4+ years asked and no level given: may sit below Om s Senior band; Pure Storage now brands as Everpure</t>
  </si>
  <si>
    <t xml:space="preserve">CL-004</t>
  </si>
  <si>
    <t xml:space="preserve">Staff Software Development Engineer (Backend - Python/Go/Rust)</t>
  </si>
  <si>
    <t xml:space="preserve">5184112007 (Greenhouse job ID)</t>
  </si>
  <si>
    <t xml:space="preserve">https://job-boards.greenhouse.io/zscaler/jobs/5184112007</t>
  </si>
  <si>
    <t xml:space="preserve">board</t>
  </si>
  <si>
    <t xml:space="preserve">Design, scale and run backend services and APIs on Kubernetes and cloud, including incident response and root-cause analysis</t>
  </si>
  <si>
    <t xml:space="preserve">half</t>
  </si>
  <si>
    <t xml:space="preserve">Staff</t>
  </si>
  <si>
    <t xml:space="preserve">5+ owning production backend services</t>
  </si>
  <si>
    <t xml:space="preserve">one of Python, Go or Rust strong, a second at working level</t>
  </si>
  <si>
    <t xml:space="preserve">C/C++ familiarity optional</t>
  </si>
  <si>
    <t xml:space="preserve">production backend and distributed systems (capability); high-volume APIs on containers and Kubernetes (capability); cloud (capability); system design and reliability (capability); distributed root-cause analysis (capability); foundational AI/ML understanding (capability); AI-assisted development (capability)</t>
  </si>
  <si>
    <t xml:space="preserve">multi-cloud Kubernetes in production (capability); SSO, OAuth, OIDC (product); observability: metrics, logs, traces (capability)</t>
  </si>
  <si>
    <t xml:space="preserve">a</t>
  </si>
  <si>
    <t xml:space="preserve">5+ years owning production backend services</t>
  </si>
  <si>
    <t xml:space="preserve">IBM IKS upgrade programme and Circuit Breaker in production; Python backend only in personal PRCP (per plan s2, Om to confirm)</t>
  </si>
  <si>
    <t xml:space="preserve">foundational AI/ML understanding; AI-assisted development</t>
  </si>
  <si>
    <t xml:space="preserve">required (general literacy only)</t>
  </si>
  <si>
    <t xml:space="preserve">AWS or GCP preferred</t>
  </si>
  <si>
    <t xml:space="preserve">read on the Dreamwork mirror (updated 6 days before retrieval); the mirror pay range is its own estimate, not stated by Zscaler, so left out; lane a: Python allowed, backend infrastructure; build vs operate is about equal</t>
  </si>
  <si>
    <t xml:space="preserve">CL-005</t>
  </si>
  <si>
    <t xml:space="preserve">Backend - Senior Engineer (Clumio)</t>
  </si>
  <si>
    <t xml:space="preserve">5376612008 (Greenhouse job ID)</t>
  </si>
  <si>
    <t xml:space="preserve">https://job-boards.greenhouse.io/commvault/jobs/5376612008</t>
  </si>
  <si>
    <t xml:space="preserve">Design, build and run backend services for the control and management plane of a cloud-native data protection platform</t>
  </si>
  <si>
    <t xml:space="preserve">one of Go, Python, Java or Rust</t>
  </si>
  <si>
    <t xml:space="preserve">one modern language (capability); operating non-trivial production systems (capability); turning loose requirements into solutions (capability)</t>
  </si>
  <si>
    <t xml:space="preserve">Go (product); security (capability); SaaS (capability)</t>
  </si>
  <si>
    <t xml:space="preserve">operates production systems, on-call</t>
  </si>
  <si>
    <t xml:space="preserve">IBM production on-call and Sev 1 handling (per plan s2, Om to confirm)</t>
  </si>
  <si>
    <t xml:space="preserve">none named (cloud-native)</t>
  </si>
  <si>
    <t xml:space="preserve">JD says most time is writing and reviewing production code; language-flexible, no Kubernetes named; 4+ years may sit below Om s band</t>
  </si>
  <si>
    <t xml:space="preserve">CL-006</t>
  </si>
  <si>
    <t xml:space="preserve">Platform Engineer - AI Infrastructure</t>
  </si>
  <si>
    <t xml:space="preserve">fcb15601-6440-41f7-aa79-b9992057a4b2 (Ashby ID)</t>
  </si>
  <si>
    <t xml:space="preserve">https://www.sarvam.ai/careers/jobs/fcb15601-6440-41f7-aa79-b9992057a4b2</t>
  </si>
  <si>
    <t xml:space="preserve">Build the GPU and serving platform on Kubernetes: scheduling, routing, rollout, autoscaling for training and inference workloads</t>
  </si>
  <si>
    <t xml:space="preserve">not stated (5+ years)</t>
  </si>
  <si>
    <t xml:space="preserve">5+ building infrastructure or platform software</t>
  </si>
  <si>
    <t xml:space="preserve">Go or Python</t>
  </si>
  <si>
    <t xml:space="preserve">Go or Python software engineering (capability); Kubernetes controllers, scheduler and API machinery, has written operators (capability); MIG and GPU sharing (capability); gang scheduling (capability); topology and fabric-aware placement (capability); owning a capability end to end (capability)</t>
  </si>
  <si>
    <t xml:space="preserve">serving or training platforms (capability); GPU schedulers Kueue, Volcano, Slurm, Run:ai (product); MIG, MPS, time-slicing as self-service (capability); Kubernetes networking CNI, RDMA, SR-IOV (capability); on-premise GPU (capability); open-source contributions (capability)</t>
  </si>
  <si>
    <t xml:space="preserve">c</t>
  </si>
  <si>
    <t xml:space="preserve">track record of systems designed and shipped</t>
  </si>
  <si>
    <t xml:space="preserve">IBM IKS upgrade automation; no controller or GPU work yet (per plan s2, Om to confirm)</t>
  </si>
  <si>
    <t xml:space="preserve">platform</t>
  </si>
  <si>
    <t xml:space="preserve">GPU scheduling; MIG; gang scheduling; Kueue; Volcano; Slurm; Run:ai; model serving; inference</t>
  </si>
  <si>
    <t xml:space="preserve">required</t>
  </si>
  <si>
    <t xml:space="preserve">read in full earlier on Oct 27 (19:00 review); inference serving itself is a bonus, GPU scheduling is required</t>
  </si>
  <si>
    <t xml:space="preserve">CL-007</t>
  </si>
  <si>
    <t xml:space="preserve">Staff Engineer, Product Infrastructure</t>
  </si>
  <si>
    <t xml:space="preserve">10f11bb2-fe15-4743-9b3f-81da6743ea6a</t>
  </si>
  <si>
    <t xml:space="preserve">https://www.sarvam.ai/careers/jobs/10f11bb2-fe15-4743-9b3f-81da6743ea6a</t>
  </si>
  <si>
    <t xml:space="preserve">Own the backend of a conversational AI platform for voice agents: data model, APIs, workflow orchestration, reliability and observability</t>
  </si>
  <si>
    <t xml:space="preserve">Staff IC</t>
  </si>
  <si>
    <t xml:space="preserve">5-10</t>
  </si>
  <si>
    <t xml:space="preserve">Python (FastAPI) or Go</t>
  </si>
  <si>
    <t xml:space="preserve">Python and FastAPI or Go (product); full system ownership (capability); workflow orchestration at scale, ideally Temporal (product); multi-tenant low-latency distributed systems (capability); PostgreSQL (product); Redis (product)</t>
  </si>
  <si>
    <t xml:space="preserve">products on LLMs or AI/ML (capability); telephony, VoIP, SIP (capability); startup experience (capability)</t>
  </si>
  <si>
    <t xml:space="preserve">operating systems in production under real load</t>
  </si>
  <si>
    <t xml:space="preserve">PRCP is FastAPI and Postgres but personal; IBM production ownership (per plan s2, Om to confirm)</t>
  </si>
  <si>
    <t xml:space="preserve">app</t>
  </si>
  <si>
    <t xml:space="preserve">LLMs; voice agents</t>
  </si>
  <si>
    <t xml:space="preserve">preferred</t>
  </si>
  <si>
    <t xml:space="preserve">Python-led backend infrastructure for an AI product; LLM work only a nice-to-have</t>
  </si>
  <si>
    <t xml:space="preserve">CL-008</t>
  </si>
  <si>
    <t xml:space="preserve">Senior Software Engineer I, Compute</t>
  </si>
  <si>
    <t xml:space="preserve">JR 2026-8174 (gh_jid 8193220)</t>
  </si>
  <si>
    <t xml:space="preserve">https://www.digitalocean.com/careers/position/apply/?gh_jid=8193220</t>
  </si>
  <si>
    <t xml:space="preserve">Lead technical execution on the Compute distributed control plane, building Go microservices and core infrastructure, with on-call</t>
  </si>
  <si>
    <t xml:space="preserve">Go (product); microservices (capability); distributed control plane or low-latency infrastructure APIs (capability); containers, virtualization or cloud-native such as Kubernetes or Firecracker (capability); distributed systems and concurrency (capability); Linux network performance tuning (capability); leading projects and mentoring (capability); gRPC and REST (product)</t>
  </si>
  <si>
    <t xml:space="preserve">production incident troubleshooting and on-call (no years screen)</t>
  </si>
  <si>
    <t xml:space="preserve">IBM production incident handling (per plan s2, Om to confirm)</t>
  </si>
  <si>
    <t xml:space="preserve">none in role (company blurb mentions inference)</t>
  </si>
  <si>
    <t xml:space="preserve">read on the Dreamwork mirror (updated 4 days before retrieval); the page gives no required/preferred split</t>
  </si>
  <si>
    <t xml:space="preserve">CL-009</t>
  </si>
  <si>
    <t xml:space="preserve">Senior Software Engineer - Kubernetes &amp; Service Mesh</t>
  </si>
  <si>
    <t xml:space="preserve">11374</t>
  </si>
  <si>
    <t xml:space="preserve">https://www.weareroku.com/jobs/senior-software-engineer-platform-engineering-bengaluru-karnataka-india</t>
  </si>
  <si>
    <t xml:space="preserve">Build and run a multi-cloud Kubernetes and Istio service mesh platform, coding in Go and Python, with cost tooling and some SRE duties</t>
  </si>
  <si>
    <t xml:space="preserve">8+</t>
  </si>
  <si>
    <t xml:space="preserve">Go or another systems language; Python or another scripting language</t>
  </si>
  <si>
    <t xml:space="preserve">Kubernetes in depth: EKS, GKE, AKS (product); service mesh, Istio (product); infrastructure automation design (capability); CI/CD (capability); observability: Prometheus, Thanos, Loki, Grafana (product); agentic systems: agents, MCP servers (capability)</t>
  </si>
  <si>
    <t xml:space="preserve">AWS (product); GCP or Azure (product)</t>
  </si>
  <si>
    <t xml:space="preserve">large-scale systems with significant traffic (no years screen beyond 8+)</t>
  </si>
  <si>
    <t xml:space="preserve">IBM IKS upgrade programme across 200-300 clusters (per plan s2, Om to confirm)</t>
  </si>
  <si>
    <t xml:space="preserve">agents; MCP servers; Claude Code; Cursor</t>
  </si>
  <si>
    <t xml:space="preserve">required (agentic tooling, not AI infrastructure)</t>
  </si>
  <si>
    <t xml:space="preserve">AWS preferred; GCP or Azure a plus</t>
  </si>
  <si>
    <t xml:space="preserve">company not on Claude s list (wider internet); platform role with real SRE share, build_share half; Terraform listed as a tool used</t>
  </si>
  <si>
    <t xml:space="preserve">CL-010</t>
  </si>
  <si>
    <t xml:space="preserve">Senior Software Engineer (Bengaluru Products &amp; Technology)</t>
  </si>
  <si>
    <t xml:space="preserve">3273539412 (gh_jid 8178900)</t>
  </si>
  <si>
    <t xml:space="preserve">https://www.mongodb.com/careers/job/?gh_jid=8178900</t>
  </si>
  <si>
    <t xml:space="preserve">Build a new platform that makes it easier for customers to build and run AI applications on MongoDB</t>
  </si>
  <si>
    <t xml:space="preserve">5+ in distributed systems or foundational cloud services</t>
  </si>
  <si>
    <t xml:space="preserve">Python, Go and Java (interest)</t>
  </si>
  <si>
    <t xml:space="preserve">core components of high-scale distributed or data systems (capability); design, testing, debugging, performance tuning (capability); long-lived highly concurrent codebases (capability); delivering distributed systems or database projects (capability)</t>
  </si>
  <si>
    <t xml:space="preserve">Kubernetes (product); AI frameworks and tools (capability); mentoring (capability)</t>
  </si>
  <si>
    <t xml:space="preserve">none stated</t>
  </si>
  <si>
    <t xml:space="preserve">AI applications; AI frameworks</t>
  </si>
  <si>
    <t xml:space="preserve">read on the Dreamwork mirror (updated 2 days before retrieval); mirror pay estimate left out; lane d: data-platform software</t>
  </si>
  <si>
    <t xml:space="preserve">CL-011</t>
  </si>
  <si>
    <t xml:space="preserve">Senior Software Engineer (Infra)</t>
  </si>
  <si>
    <t xml:space="preserve">P-926 (job 7619810002)</t>
  </si>
  <si>
    <t xml:space="preserve">https://www.databricks.com/company/careers/engineering---pipeline/senior-software-engineer-infra-7619810002</t>
  </si>
  <si>
    <t xml:space="preserve">Build backend connectivity services for networking infrastructure linking the control plane and compute plane</t>
  </si>
  <si>
    <t xml:space="preserve">6+ production (3+ large distributed systems from scratch)</t>
  </si>
  <si>
    <t xml:space="preserve">one of Python, Java, Scala, C++ or similar</t>
  </si>
  <si>
    <t xml:space="preserve">production code in one of Python, Java, Scala, C++ (capability); large-scale distributed systems built from scratch (capability); SaaS or service-oriented architecture (capability)</t>
  </si>
  <si>
    <t xml:space="preserve">networking background (capability)</t>
  </si>
  <si>
    <t xml:space="preserve">6+ years production-level code; 3+ years building large distributed systems from scratch</t>
  </si>
  <si>
    <t xml:space="preserve">no recent large production codebase of his own; IBM automation work (per plan s2, Om to confirm)</t>
  </si>
  <si>
    <t xml:space="preserve">none (multi-cloud context only)</t>
  </si>
  <si>
    <t xml:space="preserve">Python allowed; control-plane to compute-plane connectivity; from-scratch distributed-systems screen is a real gap</t>
  </si>
  <si>
    <t xml:space="preserve">CL-012</t>
  </si>
  <si>
    <t xml:space="preserve">Hyderabad</t>
  </si>
  <si>
    <t xml:space="preserve">Sr Software Engineer - Cloud Platform, Kubernetes, Hyperscalers &amp; Distributed Systems</t>
  </si>
  <si>
    <t xml:space="preserve">744000142603654 (job ID)</t>
  </si>
  <si>
    <t xml:space="preserve">https://careers.servicenow.com/jobs/744000142603654/sr-software-engineer-cloud-platform-kubernetes-hyperscalers-distributed-systems/</t>
  </si>
  <si>
    <t xml:space="preserve">Design, build and run parts of ServiceNow s Kubernetes platform and core subsystems in Go: controllers, operators, platform services, with on-call</t>
  </si>
  <si>
    <t xml:space="preserve">5+ production software</t>
  </si>
  <si>
    <t xml:space="preserve">Go (or a systems language with willingness to work mainly in Go)</t>
  </si>
  <si>
    <t xml:space="preserve">Kubernetes infrastructure or platform components built and shipped in production (capability); Go (product); AWS, Azure or GCP compute, networking, IAM (product); containers, CI/CD, GitOps, infrastructure as code (capability); AI in engineering work (capability)</t>
  </si>
  <si>
    <t xml:space="preserve">Kubernetes operator pattern (capability); CNI, service mesh, workload identity, mTLS (capability); secrets and certificate lifecycle (capability); observability and SLOs (capability); EKS, AKS, GKE (product); Terraform (product); Crossplane (product)</t>
  </si>
  <si>
    <t xml:space="preserve">built and shipped Kubernetes platform components in production that you designed and owned, not configured</t>
  </si>
  <si>
    <t xml:space="preserve">IBM IKS upgrade automation and Circuit Breaker CRD with a common operator; no Go controller of his own yet (per plan s2, Om to confirm)</t>
  </si>
  <si>
    <t xml:space="preserve">AI in engineering tooling only</t>
  </si>
  <si>
    <t xml:space="preserve">required (tooling only)</t>
  </si>
  <si>
    <t xml:space="preserve">AWS, Azure or GCP required</t>
  </si>
  <si>
    <t xml:space="preserve">required (building controllers and operators is in the duties)</t>
  </si>
  <si>
    <t xml:space="preserve">location not printed on the page body; the search result title says Hyderabad; the designed-and-owned screen is the real gap</t>
  </si>
  <si>
    <t xml:space="preserve">CL-013</t>
  </si>
  <si>
    <t xml:space="preserve">Staff Software Engineer (cloud platform capabilities)</t>
  </si>
  <si>
    <t xml:space="preserve">95578037888 (job ID)</t>
  </si>
  <si>
    <t xml:space="preserve">https://jobs.intuit.com/job/bengaluru/staff-software-engineer/27595/95578037888</t>
  </si>
  <si>
    <t xml:space="preserve">Design, build, test, deploy and maintain capabilities of Intuit s internal cloud platform used by thousands of developers</t>
  </si>
  <si>
    <t xml:space="preserve">one or more general-purpose languages (Java and Python as examples)</t>
  </si>
  <si>
    <t xml:space="preserve">high-scale distributed systems (capability); three of Unix/Linux, distributed systems, workflow automation, CI/CD, cloud platform development, Kubernetes and containers (capability); Kubernetes and Docker development and deployment (product); messaging or queueing systems (capability); highly available web services (capability)</t>
  </si>
  <si>
    <t xml:space="preserve">observability: traces, logs, metrics (capability); Kafka, Kinesis, S3, SQS (product); open source (capability)</t>
  </si>
  <si>
    <t xml:space="preserve">proven history building large highly available platforms</t>
  </si>
  <si>
    <t xml:space="preserve">IBM IKS platform work in production (per plan s2, Om to confirm)</t>
  </si>
  <si>
    <t xml:space="preserve">AI applications (in the years line only)</t>
  </si>
  <si>
    <t xml:space="preserve">AWS or GCP experience listed</t>
  </si>
  <si>
    <t xml:space="preserve">location from the URL path (bengaluru); required and preferred are not labelled on the page, split is the fetch summary s reading</t>
  </si>
  <si>
    <t xml:space="preserve">CL-014</t>
  </si>
  <si>
    <t xml:space="preserve">Senior Staff Software Engineer, Observability Platform (AIOps, ML, Tracing/RUM)</t>
  </si>
  <si>
    <t xml:space="preserve">91611978560 (job ID)</t>
  </si>
  <si>
    <t xml:space="preserve">https://jobs.intuit.com/job/bengaluru/senior-staff-software-engineer-platform/27595/91611978560</t>
  </si>
  <si>
    <t xml:space="preserve">Build the observability platform s large-scale tracing, RUM and ML-driven AIOps data processing</t>
  </si>
  <si>
    <t xml:space="preserve">Senior Staff (above Om s Senior target)</t>
  </si>
  <si>
    <t xml:space="preserve">10+</t>
  </si>
  <si>
    <t xml:space="preserve">observability: traces, logs, metrics (capability); AI/ML/LLM applied to AIOps (capability); three of Unix/Linux, distributed systems, workflow automation, CI/CD, cloud development, Kubernetes (capability); Kubernetes and Docker (product); Kafka, Kinesis, S3 or SQS (product); highly available services (capability)</t>
  </si>
  <si>
    <t xml:space="preserve">none shown</t>
  </si>
  <si>
    <t xml:space="preserve">proven history on large highly available platforms</t>
  </si>
  <si>
    <t xml:space="preserve">IBM production platform ownership (per plan s2, Om to confirm)</t>
  </si>
  <si>
    <t xml:space="preserve">AIOps; ML; LLM; GenAI</t>
  </si>
  <si>
    <t xml:space="preserve">AWS or GCP as one option</t>
  </si>
  <si>
    <t xml:space="preserve">location from the URL path; Senior Staff is a stretch level for Phase 1</t>
  </si>
  <si>
    <t xml:space="preserve">CL-015</t>
  </si>
  <si>
    <t xml:space="preserve">Senior Software Engineer (Governance Platform)</t>
  </si>
  <si>
    <t xml:space="preserve">5116242008 (Greenhouse job ID)</t>
  </si>
  <si>
    <t xml:space="preserve">https://job-boards.greenhouse.io/nirmata/jobs/5116242008</t>
  </si>
  <si>
    <t xml:space="preserve">Design and build the Nirmata Kubernetes governance platform end to end, including data processing subsystems and AI features</t>
  </si>
  <si>
    <t xml:space="preserve">6+</t>
  </si>
  <si>
    <t xml:space="preserve">Java or Go</t>
  </si>
  <si>
    <t xml:space="preserve">both Java and Go preferred</t>
  </si>
  <si>
    <t xml:space="preserve">Java or Go (product); OO design and patterns (capability); OpenAPI, REST, gRPC, WebSocket (product); Kubernetes (product); Prometheus (product); Kyverno (product); distributed platforms on public cloud (capability); high-volume data or events (capability)</t>
  </si>
  <si>
    <t xml:space="preserve">Quarkus, Spring Boot or Go equivalents (product); Kafka, RabbitMQ, Redis (product); AI agent development (capability); open source (capability)</t>
  </si>
  <si>
    <t xml:space="preserve">application asks if you installed and managed Kubernetes clusters yourself, and built AI/LLM apps in production</t>
  </si>
  <si>
    <t xml:space="preserve">IBM IKS clusters managed in production (per plan s2, Om to confirm)</t>
  </si>
  <si>
    <t xml:space="preserve">AI-powered features; AI agents</t>
  </si>
  <si>
    <t xml:space="preserve">AWS, Azure or GCP</t>
  </si>
  <si>
    <t xml:space="preserve">company not on Claude s list (wider internet); Kyverno is a CNCF Kubernetes policy engine written in Go</t>
  </si>
  <si>
    <t xml:space="preserve">CL-016</t>
  </si>
  <si>
    <t xml:space="preserve">Software Development Engineer III - Backend</t>
  </si>
  <si>
    <t xml:space="preserve">10854660 (Built In ID)</t>
  </si>
  <si>
    <t xml:space="preserve">https://builtin.com/job/software-development-engineer-iii-backend/10854660</t>
  </si>
  <si>
    <t xml:space="preserve">Lead backend architecture for conversational AI, real-time communication, CRM and search systems</t>
  </si>
  <si>
    <t xml:space="preserve">SDE3 / Tech Lead</t>
  </si>
  <si>
    <t xml:space="preserve">6-8</t>
  </si>
  <si>
    <t xml:space="preserve">both ideally</t>
  </si>
  <si>
    <t xml:space="preserve">algorithms and data structures (capability); distributed systems: queues, events, caching, async (capability); system design (capability); leading projects to production (capability); NoSQL, Elasticsearch/OpenSearch (product); AWS (product); LLM integration, embeddings, prompt engineering (capability); conversational AI or agents in production (capability)</t>
  </si>
  <si>
    <t xml:space="preserve">LLM orchestration, RAG, multi-agent (capability); real-time communication (capability); search and ranking (capability)</t>
  </si>
  <si>
    <t xml:space="preserve">conversational AI or agent systems built in production; projects led to production</t>
  </si>
  <si>
    <t xml:space="preserve">RAG tool at IBM s 2024 AI hackathon, not production (per Om, Oct 22; Om to confirm)</t>
  </si>
  <si>
    <t xml:space="preserve">LLM; embeddings; RAG; agents; multi-agent</t>
  </si>
  <si>
    <t xml:space="preserve">AWS</t>
  </si>
  <si>
    <t xml:space="preserve">product backend rather than infrastructure; Built In says posted one month ago; no employer link shown; posted per mirror: about one month before retrieval</t>
  </si>
  <si>
    <t xml:space="preserve">CL-017</t>
  </si>
  <si>
    <t xml:space="preserve">Lead Engineer - Managed Kubernetes</t>
  </si>
  <si>
    <t xml:space="preserve">R0000443188</t>
  </si>
  <si>
    <t xml:space="preserve">https://indiajobs.target.com/job/bengaluru/lead-engineer-managed-kubernetes/34386/96970079536</t>
  </si>
  <si>
    <t xml:space="preserve">Build Go platform tooling, controllers and automation for Target s managed Kubernetes platform, and run and scale the clusters</t>
  </si>
  <si>
    <t xml:space="preserve">Lead</t>
  </si>
  <si>
    <t xml:space="preserve">10+ (preferred)</t>
  </si>
  <si>
    <t xml:space="preserve">Go (product); Kubernetes administration and production operations (capability); GKE preferred, AWS or Azure acceptable (product); Kubernetes networking: CNI, ingress, network policies (capability); Terraform (product); Helm (product); Kustomize (product); Argo CD or Flux (product); CI/CD (capability); observability (capability); Linux (capability); Kubernetes storage: CSI, PV/PVC, StatefulSets (capability)</t>
  </si>
  <si>
    <t xml:space="preserve">CKA or CKAD (product)</t>
  </si>
  <si>
    <t xml:space="preserve">Kubernetes production operations</t>
  </si>
  <si>
    <t xml:space="preserve">IBM IKS upgrade programme across 200-300 clusters and 19k workers (per plan s2, Om to confirm)</t>
  </si>
  <si>
    <t xml:space="preserve">GCP/GKE preferred; AWS or Azure acceptable</t>
  </si>
  <si>
    <t xml:space="preserve">required (writing controllers in Go is in the duties)</t>
  </si>
  <si>
    <t xml:space="preserve">closest posting so far to Om s IKS production record; half building, half operating</t>
  </si>
  <si>
    <t xml:space="preserve">CL-018</t>
  </si>
  <si>
    <t xml:space="preserve">Sr Software Engineer - Python</t>
  </si>
  <si>
    <t xml:space="preserve">R0138315-1</t>
  </si>
  <si>
    <t xml:space="preserve">https://paypal.wd1.myworkdayjobs.com/jobs/job/Bangalore-Karnataka-India/Sr-Software-Engineer---Python_R0138315-1</t>
  </si>
  <si>
    <t xml:space="preserve">2026-10-26</t>
  </si>
  <si>
    <t xml:space="preserve">Deliver backend services and REST APIs in Python or Go on GCP or AWS across the full lifecycle, mentoring juniors</t>
  </si>
  <si>
    <t xml:space="preserve">5+ (minimum line says 3+)</t>
  </si>
  <si>
    <t xml:space="preserve">Python and/or Go</t>
  </si>
  <si>
    <t xml:space="preserve">TypeScript optional (front-end)</t>
  </si>
  <si>
    <t xml:space="preserve">Python or Go (product); algorithms, data structures, design patterns (capability); building and operating workloads on GCP or AWS (product); backend services and REST APIs (capability); SQL and NoSQL design, ORM (capability); CI/CD, containers, Kubernetes (capability); mentoring and code review (capability)</t>
  </si>
  <si>
    <t xml:space="preserve">GCP or AWS certification (product); Terraform, Pulumi, CDK or Crossplane (product); React or TypeScript (product); multi-region systems (capability); OPA, SOC 2, PCI DSS (capability); Gen AI for infrastructure automation (capability)</t>
  </si>
  <si>
    <t xml:space="preserve">track record of production-grade code and operating workloads</t>
  </si>
  <si>
    <t xml:space="preserve">PRCP Python and Postgres, personal; IBM production operations (per plan s2, Om to confirm)</t>
  </si>
  <si>
    <t xml:space="preserve">Gen AI for infrastructure automation</t>
  </si>
  <si>
    <t xml:space="preserve">GCP or AWS required</t>
  </si>
  <si>
    <t xml:space="preserve">read on the Dreamwork mirror (posted yesterday per the mirror); employer link is PayPal s Workday page, which Claude cannot render; posted computed from: one day before retrieval</t>
  </si>
  <si>
    <t xml:space="preserve">CL-019</t>
  </si>
  <si>
    <t xml:space="preserve">Senior Software Engineer (Golang, Kubernetes and CI Build Services)</t>
  </si>
  <si>
    <t xml:space="preserve">P24565_3411433 (job 7810108)</t>
  </si>
  <si>
    <t xml:space="preserve">https://www.okta.com/company/careers/engineering/senior-software-engineer-golang-k82-ci-build-services-7810108/</t>
  </si>
  <si>
    <t xml:space="preserve">Build and own Okta s large-scale CI and build platform in Go: reusable build stages, build agents, artifact registries, scaling</t>
  </si>
  <si>
    <t xml:space="preserve">6+ in platform or infrastructure engineering</t>
  </si>
  <si>
    <t xml:space="preserve">Go, advanced (product); Terraform (product); Kubernetes and container primitives (capability); distributed-system failure investigation (capability); owning reliability, cost and security (capability); large-scale CI/build platforms (capability)</t>
  </si>
  <si>
    <t xml:space="preserve">proven track record investigating distributed system failures</t>
  </si>
  <si>
    <t xml:space="preserve">IBM IKS upgrade automation in production (per plan s2, Om to confirm)</t>
  </si>
  <si>
    <t xml:space="preserve">title says K82, meaning Kubernetes (K8s)</t>
  </si>
  <si>
    <t xml:space="preserve">CL-020</t>
  </si>
  <si>
    <t xml:space="preserve">Staff Software Engineer, Platform &amp; Infrastructure</t>
  </si>
  <si>
    <t xml:space="preserve">P17928_3573615 (job 8258803)</t>
  </si>
  <si>
    <t xml:space="preserve">https://www.okta.com/company/careers/opportunity/8258803</t>
  </si>
  <si>
    <t xml:space="preserve">Build and run Okta s internal developer platform: CI/CD, build-and-test orchestration and multi-cloud infrastructure</t>
  </si>
  <si>
    <t xml:space="preserve">5+</t>
  </si>
  <si>
    <t xml:space="preserve">Go and/or Python</t>
  </si>
  <si>
    <t xml:space="preserve">Go or Python (product); Kubernetes in depth: pods, operators, scheduling, networking (capability); CI/CD as a platform: Jenkins, GitLab, Tekton, ArgoCD (product); AWS, GCP or Azure (product); Docker (product); container registries such as Artifactory (product); Gradle or Bazel (product); leading cross-functional projects (capability)</t>
  </si>
  <si>
    <t xml:space="preserve">track record of shipping internal platforms</t>
  </si>
  <si>
    <t xml:space="preserve">IBM IKS upgrade automation, Jenkins Circuit Breaker job (per plan s2, Om to confirm)</t>
  </si>
  <si>
    <t xml:space="preserve">AWS, GCP or Azure required</t>
  </si>
  <si>
    <t xml:space="preserve">read on the Dreamwork mirror (posted 2 weeks ago per the mirror); posted per mirror: about 2 weeks before retrieval</t>
  </si>
  <si>
    <t xml:space="preserve">CL-021</t>
  </si>
  <si>
    <t xml:space="preserve">Staff Engineer, Core Infrastructure (Regional Enablement Platform)</t>
  </si>
  <si>
    <t xml:space="preserve">8070949 (job ID)</t>
  </si>
  <si>
    <t xml:space="preserve">https://stripe.com/careers/listing/staff-engineer-core-infrastructure/8070949</t>
  </si>
  <si>
    <t xml:space="preserve">Define and automate readiness checks for launching, migrating and failing over Stripe regions: validation tooling, CI/CD gates, fixes with service owners</t>
  </si>
  <si>
    <t xml:space="preserve">12+</t>
  </si>
  <si>
    <t xml:space="preserve">Go (3+ years) preferred</t>
  </si>
  <si>
    <t xml:space="preserve">leading cross-team infrastructure projects (capability); distributed systems or backend (capability); reliability and security (capability); low-downtime migrations (capability); design docs and trade-offs (capability); mentoring (capability); AWS, Azure, OCI or GCP (product); metrics, alarms, dashboards (capability)</t>
  </si>
  <si>
    <t xml:space="preserve">validating failovers, migrations or regional launches (capability); strict reliability or latency (capability); networking and service discovery (capability); Kubernetes (product); Terraform (product); reusable tooling (capability); Go 3+ years (product)</t>
  </si>
  <si>
    <t xml:space="preserve">12+ years; operating high-reliability systems</t>
  </si>
  <si>
    <t xml:space="preserve">IBM IKS version upgrades across regions in maintenance windows (per plan s2, Om to confirm)</t>
  </si>
  <si>
    <t xml:space="preserve">office-based, at least 50% (team may require more)</t>
  </si>
  <si>
    <t xml:space="preserve">AWS, Azure, OCI or GCP required</t>
  </si>
  <si>
    <t xml:space="preserve">12+ years matches Om exactly; Staff level; migration and failover readiness is close to his upgrade-programme story</t>
  </si>
  <si>
    <t xml:space="preserve">CL-022</t>
  </si>
  <si>
    <t xml:space="preserve">InMobi (Glance)</t>
  </si>
  <si>
    <t xml:space="preserve">SDE III - Backend (Glance)</t>
  </si>
  <si>
    <t xml:space="preserve">7213699 (Greenhouse job ID)</t>
  </si>
  <si>
    <t xml:space="preserve">https://job-boards.greenhouse.io/glance/jobs/7213699</t>
  </si>
  <si>
    <t xml:space="preserve">Own backend services and data pipelines serving about 200K queries a second, with design, infrastructure, cost and on-call ownership</t>
  </si>
  <si>
    <t xml:space="preserve">SDE3 (senior)</t>
  </si>
  <si>
    <t xml:space="preserve">4-5+</t>
  </si>
  <si>
    <t xml:space="preserve">one modern language at expert level (Go, Python or Java as examples)</t>
  </si>
  <si>
    <t xml:space="preserve">production backend (capability); low-level design (capability); SQL and NoSQL in depth (capability); microservices at scale (capability); batch or streaming pipelines (capability); observability (capability); incident response and on-call (capability); capacity planning and cost (capability); distributed systems (capability)</t>
  </si>
  <si>
    <t xml:space="preserve">GCP, AWS or Azure (product); Kubernetes at scale (product); Terraform or Pulumi (product); Kafka, Pub/Sub, Kinesis, Flink (product); SRE practices (capability); FinOps (capability); technical leadership (capability)</t>
  </si>
  <si>
    <t xml:space="preserve">4-5+ years of production backend with on-call</t>
  </si>
  <si>
    <t xml:space="preserve">IBM on-call and Sev 1 handling (per plan s2, Om to confirm)</t>
  </si>
  <si>
    <t xml:space="preserve">none in role (company uses Gemini and Imagen)</t>
  </si>
  <si>
    <t xml:space="preserve">preferred (GCP, AWS or Azure)</t>
  </si>
  <si>
    <t xml:space="preserve">Glance is part of the InMobi Group, recorded under InMobi; 4-5+ years may sit below Om s band</t>
  </si>
  <si>
    <t xml:space="preserve">CL-023</t>
  </si>
  <si>
    <t xml:space="preserve">Sr Engineer - Managed Kubernetes</t>
  </si>
  <si>
    <t xml:space="preserve">R0000453849</t>
  </si>
  <si>
    <t xml:space="preserve">https://target.wd5.myworkdayjobs.com/targetcareers/job/BangaloreIndia/Sr-Engineer---Managed-Kubernetes_R0000453849</t>
  </si>
  <si>
    <t xml:space="preserve">Design, build and run Target s managed Kubernetes platform services, with Go tooling and controllers, upgrades and incidents</t>
  </si>
  <si>
    <t xml:space="preserve">5+ (preferred)</t>
  </si>
  <si>
    <t xml:space="preserve">Go (product); Kubernetes provisioning, upgrades, troubleshooting (capability); public cloud operations (capability); Kubernetes networking: CNI, ingress, network policies (capability); Terraform, Helm, Kustomize (product); Argo CD or Flux (product); CI/CD (capability); observability (capability); Linux and container runtimes (capability); Kubernetes storage: CSI, PV/PVC, StatefulSets (capability); root-cause analysis (capability)</t>
  </si>
  <si>
    <t xml:space="preserve">CKA or CKAD (product); multi-cluster and cluster lifecycle automation (capability); disaster recovery (capability); progressive rollout and rollback (capability); open source (capability)</t>
  </si>
  <si>
    <t xml:space="preserve">production support and incident management</t>
  </si>
  <si>
    <t xml:space="preserve">IBM IKS upgrades across 200-300 clusters (per plan s2, Om to confirm)</t>
  </si>
  <si>
    <t xml:space="preserve">GCP/GKE preferred; AWS or Azure relevant</t>
  </si>
  <si>
    <t xml:space="preserve">required (building controllers is in the duties)</t>
  </si>
  <si>
    <t xml:space="preserve">read on the Dreamwork mirror (posted 3 weeks ago); second Target managed-Kubernetes role, Senior rather than Lead; posted per mirror: about 3 weeks before retrieval</t>
  </si>
  <si>
    <t xml:space="preserve">CL-024</t>
  </si>
  <si>
    <t xml:space="preserve">Software Engineer/Platform Engineer - Kubernetes + Golang/Python + AI (5+ Years)</t>
  </si>
  <si>
    <t xml:space="preserve">https://jobalert.world/jobs/software-engineerplatform-engineer-kubernetes-golangpython-ai-5-years-at-cisco-bangalore-india-61444</t>
  </si>
  <si>
    <t xml:space="preserve">2026-09-16</t>
  </si>
  <si>
    <t xml:space="preserve">Build Kubernetes platforms that offer LLMs and GPUs as services: multi-tenancy, workload orchestration, Go and Python tooling, infrastructure as code</t>
  </si>
  <si>
    <t xml:space="preserve">not stated (leads technical direction)</t>
  </si>
  <si>
    <t xml:space="preserve">Kubernetes platform components, multi-tenancy, workload orchestration (capability); GPU-based and GenAI workload deployment (capability); backend services and platform tooling (capability); observability (capability); infrastructure as code (capability)</t>
  </si>
  <si>
    <t xml:space="preserve">LLMs as a service; GPUs as a service; GenAI workloads; foundational models; AIOps</t>
  </si>
  <si>
    <t xml:space="preserve">JD text is cut off on the mirror and has no requirements section: skills come from the duties only; no employer link shown</t>
  </si>
  <si>
    <t xml:space="preserve">CL-025</t>
  </si>
  <si>
    <t xml:space="preserve">Senior Staff Software Development Engineer - Developer Platform (API gateway and traffic)</t>
  </si>
  <si>
    <t xml:space="preserve">jr10020</t>
  </si>
  <si>
    <t xml:space="preserve">https://jiostar.wd102.myworkdayjobs.com</t>
  </si>
  <si>
    <t xml:space="preserve">2026-10-24</t>
  </si>
  <si>
    <t xml:space="preserve">Own the Envoy-based API gateway and traffic platform for north-south and east-west traffic, and build a unified CDN traffic layer, in Go or Python</t>
  </si>
  <si>
    <t xml:space="preserve">Senior Staff (title on mirror says Staff)</t>
  </si>
  <si>
    <t xml:space="preserve">9+ (preferred)</t>
  </si>
  <si>
    <t xml:space="preserve">Go or Python, expert</t>
  </si>
  <si>
    <t xml:space="preserve">Envoy API gateway in large-scale production (product); Go or Python expert (product); CDN architecture: Akamai, Fastly, Cloudflare (product); Terraform (product); Kubernetes (product); Helm (product); networking: TLS, L4/L7, rate limiting, circuit breaking (capability); observability, SLIs, SLOs (capability); mentoring (capability)</t>
  </si>
  <si>
    <t xml:space="preserve">B.Tech or M.Tech (capability)</t>
  </si>
  <si>
    <t xml:space="preserve">large-scale production Envoy; 9+ years in production-focused roles</t>
  </si>
  <si>
    <t xml:space="preserve">IBM Circuit Breaker gate for cluster changes; no Envoy work (per plan s2, Om to confirm)</t>
  </si>
  <si>
    <t xml:space="preserve">multi-cloud, none named</t>
  </si>
  <si>
    <t xml:space="preserve">read on the Dreamwork mirror (posted 3 days ago); employer link is a Workday page; infra, DevOps or SRE years are the screen, so part operations; posted computed from: 3 days before retrieval</t>
  </si>
  <si>
    <t xml:space="preserve">CL-026</t>
  </si>
  <si>
    <t xml:space="preserve">Member of Technical Staff - Platform Engineering (AI Applications team)</t>
  </si>
  <si>
    <t xml:space="preserve">8276105 (Greenhouse job ID)</t>
  </si>
  <si>
    <t xml:space="preserve">https://job-boards.greenhouse.io/purestorage/jobs/8276105</t>
  </si>
  <si>
    <t xml:space="preserve">Build internal self-service platform APIs, Go and Python tooling and AI agents, event pipelines and golden-path deployments on Kubernetes for a new AI applications team</t>
  </si>
  <si>
    <t xml:space="preserve">8+ in platform infrastructure engineering</t>
  </si>
  <si>
    <t xml:space="preserve">Python used for tooling and agents</t>
  </si>
  <si>
    <t xml:space="preserve">Go, high proficiency (product); platform infrastructure 8+ years (capability); LLM API integration, prompt engineering, RAG pipelines (capability); vector databases and distributed caches (capability); Kubernetes (product); Kafka or RabbitMQ (product); Prometheus, Grafana, ELK (product)</t>
  </si>
  <si>
    <t xml:space="preserve">8+ years; zero-downtime procedures and root-cause analysis</t>
  </si>
  <si>
    <t xml:space="preserve">IBM IKS upgrade automation; RAG tool at the 2024 IBM hackathon, not production (per plan s2 and Om, Oct 22; Om to confirm)</t>
  </si>
  <si>
    <t xml:space="preserve">LLM APIs; RAG; vector databases; AI agents; GPU workloads; model drift; model weights</t>
  </si>
  <si>
    <t xml:space="preserve">read on the Dreamwork mirror (posted 1 week ago); mixes AI-application work with GPU workload platform duties, recorded as app, not platform; posted per mirror: about 1 week before retrieval</t>
  </si>
  <si>
    <t xml:space="preserve">CL-027</t>
  </si>
  <si>
    <t xml:space="preserve">Software Engineer - Go, Java, Docker, Kubernetes, AWS (Intersight)</t>
  </si>
  <si>
    <t xml:space="preserve">2022884-1</t>
  </si>
  <si>
    <t xml:space="preserve">https://cisco.wd5.myworkdayjobs.com/Cisco_Careers/job/Bangalore-India/Software-Engineer---Go--Java-Dockers--Kubernetes--AWS_2022884-1</t>
  </si>
  <si>
    <t xml:space="preserve">Design and build software for Cisco Intersight, a cloud system-management SaaS for UCS and other products</t>
  </si>
  <si>
    <t xml:space="preserve">5+ (BE) or 3+ (M.Tech)</t>
  </si>
  <si>
    <t xml:space="preserve">one of Go, Java or C/C++</t>
  </si>
  <si>
    <t xml:space="preserve">scalable highly available systems (capability); SaaS or cloud infrastructure with microservices (capability); OO design (capability); data structures and algorithms (capability); Docker and Kubernetes (product); AWS (product); debugging (capability)</t>
  </si>
  <si>
    <t xml:space="preserve">none in role</t>
  </si>
  <si>
    <t xml:space="preserve">AWS required</t>
  </si>
  <si>
    <t xml:space="preserve">read on the Dreamwork mirror (posted 1 week ago); Go is one allowed language among Java and C/C++; posted per mirror: about 1 week before retrieval</t>
  </si>
  <si>
    <t xml:space="preserve">CL-028</t>
  </si>
  <si>
    <t xml:space="preserve">Senior Software Engineer (Golang AND K8s AND Networking)</t>
  </si>
  <si>
    <t xml:space="preserve">8030 (Oracle HCM job)</t>
  </si>
  <si>
    <t xml:space="preserve">https://efpv.fa.us6.oraclecloud.com/hcmUI/CandidateExperience/en/sites/CX_1/job/8030</t>
  </si>
  <si>
    <t xml:space="preserve">Design, build, deploy and support cloud networking and SaaS platform features (DDI) in Go on Kubernetes</t>
  </si>
  <si>
    <t xml:space="preserve">8+ with production ownership</t>
  </si>
  <si>
    <t xml:space="preserve">Go: concurrency, errors, testing, profiling (product); microservices, distributed systems, REST and gRPC (capability); Kubernetes, Docker, Helm (product); AWS or GCP (product); Aurora PostgreSQL (product); networking: TCP/IP, DNS, DHCP, IPsec, VPN, routing (capability); production deployment, incident response, root-cause analysis (capability); CI/CD and automated testing (capability); Prometheus and Grafana (product); technical leadership (capability)</t>
  </si>
  <si>
    <t xml:space="preserve">Master s degree (capability)</t>
  </si>
  <si>
    <t xml:space="preserve">8+ years with production-quality ownership</t>
  </si>
  <si>
    <t xml:space="preserve">AI-assisted engineering tools only</t>
  </si>
  <si>
    <t xml:space="preserve">AWS or GCP required</t>
  </si>
  <si>
    <t xml:space="preserve">preferred (controllers and custom resources mentioned in the duties)</t>
  </si>
  <si>
    <t xml:space="preserve">company not on Claude s list (wider internet); body says Bangalore and Pune; posted per mirror: about 3 weeks before retrieval</t>
  </si>
  <si>
    <t xml:space="preserve">CL-029</t>
  </si>
  <si>
    <t xml:space="preserve">Senior Software Engineer - Go, AWS, Python</t>
  </si>
  <si>
    <t xml:space="preserve">gh_jid 5412999008</t>
  </si>
  <si>
    <t xml:space="preserve">https://www.nasuni.com/about-us/careers/open-positions/?gh_jid=5412999008</t>
  </si>
  <si>
    <t xml:space="preserve">Build and run AWS cloud services for global file access, telemetry and secure data workflows, with infrastructure as code and production ownership</t>
  </si>
  <si>
    <t xml:space="preserve">5-9 (3+ in production backend or cloud services)</t>
  </si>
  <si>
    <t xml:space="preserve">Python</t>
  </si>
  <si>
    <t xml:space="preserve">production backend or cloud services (capability); Go: design, testing, debugging (product); AWS hands-on: Lambda, SQS, Kinesis, S3, DynamoDB (product); event-driven or serverless (capability); Terraform or comparable IaC in production (product); Linux, networking, distributed systems (capability); communication (capability)</t>
  </si>
  <si>
    <t xml:space="preserve">production Python (product); messaging, streaming, telemetry pipelines (capability); GitHub Actions, Grafana, tracing (product); Docker, ECS or EKS (product); AI-assisted engineering tools (capability)</t>
  </si>
  <si>
    <t xml:space="preserve">production ownership is essential, with on-call</t>
  </si>
  <si>
    <t xml:space="preserve">IBM on-call and production ownership (per plan s2, Om to confirm)</t>
  </si>
  <si>
    <t xml:space="preserve">hybrid (3 days a week, Hyderabad)</t>
  </si>
  <si>
    <t xml:space="preserve">AI-assisted diagnostics (with data or ML teams)</t>
  </si>
  <si>
    <t xml:space="preserve">company not on Claude s list (wider internet); Go-led cloud services, Kubernetes only preferred; JD says not a pure DevOps role; posted computed from: one day before retrieval</t>
  </si>
  <si>
    <t xml:space="preserve">CL-030</t>
  </si>
  <si>
    <t xml:space="preserve">Pune</t>
  </si>
  <si>
    <t xml:space="preserve">Red Hat</t>
  </si>
  <si>
    <t xml:space="preserve">Senior Software Engineer - Cloud Infrastructure, Kubernetes, Golang/Python (productization pipeline)</t>
  </si>
  <si>
    <t xml:space="preserve">R-057038-1</t>
  </si>
  <si>
    <t xml:space="preserve">https://redhat.wd5.myworkdayjobs.com</t>
  </si>
  <si>
    <t xml:space="preserve">Design, build and run features of Red Hat s next-generation productization pipeline that builds, tests and releases artifacts on hybrid cloud (Tekton, Kubernetes)</t>
  </si>
  <si>
    <t xml:space="preserve">5+ coding in Go, Java or Python</t>
  </si>
  <si>
    <t xml:space="preserve">one of Go, Java or Python</t>
  </si>
  <si>
    <t xml:space="preserve">Go, Java or Python (product); GitHub or GitLab (product); Linux as a developer (capability); building and debugging apps on Kubernetes (capability); containerized apps and controllers (capability); AWS and microservices (product)</t>
  </si>
  <si>
    <t xml:space="preserve">IBM Cloud (product); Terraform (product); Tekton or ArgoCD (product); CI/CD pipelines (capability); Prometheus, Grafana, Splunk (product); open source (capability); OLM (product)</t>
  </si>
  <si>
    <t xml:space="preserve">none beyond 5 years of coding</t>
  </si>
  <si>
    <t xml:space="preserve">IBM Cloud and ArgoCD used at work (per plan s2, Om to confirm)</t>
  </si>
  <si>
    <t xml:space="preserve">general AI tools only</t>
  </si>
  <si>
    <t xml:space="preserve">AWS (example) required; IBM Cloud preferred</t>
  </si>
  <si>
    <t xml:space="preserve">required (building and running controllers)</t>
  </si>
  <si>
    <t xml:space="preserve">fresh repost of the Jun 2 role excluded earlier; Red Hat is IBM group (flag); read on the Dreamwork mirror; posted computed from: same day as retrieval</t>
  </si>
  <si>
    <t xml:space="preserve">CL-031</t>
  </si>
  <si>
    <t xml:space="preserve">Staff Software Engineer - Managed Kubernetes products (App Platform and Functions)</t>
  </si>
  <si>
    <t xml:space="preserve">JR 2026-8135 (gh_jid 8193084)</t>
  </si>
  <si>
    <t xml:space="preserve">https://www.digitalocean.com/careers/position/apply/?gh_jid=8193084</t>
  </si>
  <si>
    <t xml:space="preserve">2026-10-25</t>
  </si>
  <si>
    <t xml:space="preserve">Set technical direction for the App Platform (PaaS on Kubernetes) and Functions (serverless) control planes and runtimes, through implementation and rollout</t>
  </si>
  <si>
    <t xml:space="preserve">Staff (IC5)</t>
  </si>
  <si>
    <t xml:space="preserve">Go, expert (product); gRPC and HTTP microservices at scale (capability); Kubernetes internals, controllers, operators, CRDs (capability); PaaS, serverless, multi-tenant control planes (capability); distributed systems at cloud scale (capability); MySQL or Postgres (product); infrastructure as code (capability); multi-region design (capability); cross-org influence (capability)</t>
  </si>
  <si>
    <t xml:space="preserve">CNI (capability); service mesh (capability); autoscaling and scale-to-zero (capability); gVisor, Firecracker (product); canary and blue-green (capability); platform SLOs (capability); CNCF contributions (capability)</t>
  </si>
  <si>
    <t xml:space="preserve">track record shipping mission-critical distributed systems at Staff or Principal level</t>
  </si>
  <si>
    <t xml:space="preserve">IBM IKS platform ownership; no Go controllers yet (per plan s2, Om to confirm)</t>
  </si>
  <si>
    <t xml:space="preserve">inference and AI agent workloads in the header only</t>
  </si>
  <si>
    <t xml:space="preserve">read on the Dreamwork mirror (posted 2 days ago); architecture and leadership dominate the duties; posted computed from: 2 days before retrieval</t>
  </si>
  <si>
    <t xml:space="preserve">CL-032</t>
  </si>
  <si>
    <t xml:space="preserve">Staff Backend Engineer - K8 (Envoy), Coupang Intelligent Cloud</t>
  </si>
  <si>
    <t xml:space="preserve">gh_jid 8222609</t>
  </si>
  <si>
    <t xml:space="preserve">https://www.coupang.jobs/en/jobs/?gh_jid=8222609</t>
  </si>
  <si>
    <t xml:space="preserve">Architect and build an AI inference gateway on Kubernetes and Envoy for ML and generative AI workloads</t>
  </si>
  <si>
    <t xml:space="preserve">8+ (5+ operating large distributed systems in production)</t>
  </si>
  <si>
    <t xml:space="preserve">one or more of Go, Java or Python</t>
  </si>
  <si>
    <t xml:space="preserve">Go, Java or Python (product); API platforms, gateways or service mesh (capability); microservices and distributed systems (capability); Kubernetes in production (product); AWS, Azure or GCP operations (product); observability, reliability, capacity planning (capability)</t>
  </si>
  <si>
    <t xml:space="preserve">AI/ML inference platforms and LLM gateways (capability); Gateway API, Ingress, Istio, Linkerd, Envoy (product); vLLM, Triton, KServe (product); gRPC, HTTP/2, streaming (capability); CPU/GPU optimization (capability); GenAI, RAG (capability); Kafka, Cassandra, Redis, MongoDB (product)</t>
  </si>
  <si>
    <t xml:space="preserve">5+ years designing and operating large distributed systems in production</t>
  </si>
  <si>
    <t xml:space="preserve">hybrid (3 office days)</t>
  </si>
  <si>
    <t xml:space="preserve">AI inference gateway; LLM gateways; vLLM; Triton; KServe; Kubeflow; GPU workloads</t>
  </si>
  <si>
    <t xml:space="preserve">required (the duties are an inference gateway; serving frameworks preferred)</t>
  </si>
  <si>
    <t xml:space="preserve">company not on Claude s list (wider internet); closest posting to llm-d-style work found tonight; posted field: updated 6 days before retrieval</t>
  </si>
  <si>
    <t xml:space="preserve">CL-033</t>
  </si>
  <si>
    <t xml:space="preserve">Senior Private Cloud AI Engineer - Staff Engineer</t>
  </si>
  <si>
    <t xml:space="preserve">1214793-2</t>
  </si>
  <si>
    <t xml:space="preserve">https://hpe.wd5.myworkdayjobs.com/Jobsathpe/job/Bengaluru-Karntaka-India/Senior-Private-Cloud-AI-Engineer---Staff-Engineer_1214793-2</t>
  </si>
  <si>
    <t xml:space="preserve">Build components of the HPE Private Cloud AI platform: automation, APIs, Kubernetes services and AI workload enablement, plus integration and customer troubleshooting</t>
  </si>
  <si>
    <t xml:space="preserve">one or more of Python, Go, Java, C++ or similar</t>
  </si>
  <si>
    <t xml:space="preserve">software, systems or platform engineering (capability); automation, scripting, API and tooling development (capability); Kubernetes and containers (product); Linux and enterprise infrastructure (capability); distributed-systems troubleshooting (capability); communication (capability)</t>
  </si>
  <si>
    <t xml:space="preserve">Ansible, Terraform, Helm (product); cloud and virtualization (capability); AI/ML frameworks (capability); LLMs, RAG, vector databases, model deployment, MLOps (capability); GPU computing and high-performance networking (capability); AI infrastructure (capability)</t>
  </si>
  <si>
    <t xml:space="preserve">production and customer troubleshooting (preferred)</t>
  </si>
  <si>
    <t xml:space="preserve">IBM IKS platform work (per plan s2, Om to confirm)</t>
  </si>
  <si>
    <t xml:space="preserve">hybrid (about 2 days in office)</t>
  </si>
  <si>
    <t xml:space="preserve">Private Cloud AI; AI workload enablement; LLMs; RAG; model serving; MLOps; GPU computing</t>
  </si>
  <si>
    <t xml:space="preserve">preferred (the platform is AI, AI skills are preferred items)</t>
  </si>
  <si>
    <t xml:space="preserve">public or private cloud preferred</t>
  </si>
  <si>
    <t xml:space="preserve">read on the Dreamwork mirror (posted yesterday); posted computed from: one day before retrieval</t>
  </si>
  <si>
    <t xml:space="preserve">CL-034</t>
  </si>
  <si>
    <t xml:space="preserve">Senior Backend Software Engineer (Connector Platform)</t>
  </si>
  <si>
    <t xml:space="preserve">27432 (iCIMS)</t>
  </si>
  <si>
    <t xml:space="preserve">https://careers-apac-atlassian.icims.com/jobs/27432/senior-backend-software-engineer/job</t>
  </si>
  <si>
    <t xml:space="preserve">2026-10-22</t>
  </si>
  <si>
    <t xml:space="preserve">Lead the platform entry point for third-party traffic: API gateway, authentication, request admission, connector lifecycle and a declarative SDK</t>
  </si>
  <si>
    <t xml:space="preserve">7+</t>
  </si>
  <si>
    <t xml:space="preserve">not named</t>
  </si>
  <si>
    <t xml:space="preserve">end-to-end ownership of platform or infrastructure systems (capability); gateway or edge systems for auth, admission and integrations (capability); service ownership through production (capability); contract-first API design (capability); SDKs, schema or compiler systems (capability)</t>
  </si>
  <si>
    <t xml:space="preserve">7+ years design, build and operate</t>
  </si>
  <si>
    <t xml:space="preserve">IBM production ownership (per plan s2, Om to confirm)</t>
  </si>
  <si>
    <t xml:space="preserve">flexible (office, home or both)</t>
  </si>
  <si>
    <t xml:space="preserve">read on the Dreamwork mirror (posted 5 days ago); no language named, lane a as backend infrastructure; posted computed from: 5 days before retrieval</t>
  </si>
  <si>
    <t xml:space="preserve">CL-035</t>
  </si>
  <si>
    <t xml:space="preserve">Senior Software Engineer - Backend (cross-region and multi-cloud foundations)</t>
  </si>
  <si>
    <t xml:space="preserve">P-1385 (gh_jid 8320183002)</t>
  </si>
  <si>
    <t xml:space="preserve">https://databricks.com/company/careers/open-positions/job?gh_jid=8320183002</t>
  </si>
  <si>
    <t xml:space="preserve">Build Databricks backend infrastructure: cross-region and multi-cloud foundations, cloud-agnostic abstractions and developer tooling</t>
  </si>
  <si>
    <t xml:space="preserve">6+ production</t>
  </si>
  <si>
    <t xml:space="preserve">one of Python, Java, Scala, C++ or similar; plus a backend language such as Java, Scala or Go</t>
  </si>
  <si>
    <t xml:space="preserve">production code in Python, Java, Scala or C++ (capability); large distributed systems built from scratch (capability); SaaS or service-oriented architecture (capability); developing and operating backend systems (capability)</t>
  </si>
  <si>
    <t xml:space="preserve">6+ years production; distributed systems from scratch</t>
  </si>
  <si>
    <t xml:space="preserve">no recent large production codebase of his own (per plan s2, Om to confirm)</t>
  </si>
  <si>
    <t xml:space="preserve">multi-cloud (none named)</t>
  </si>
  <si>
    <t xml:space="preserve">read on the Dreamwork mirror; second Databricks backend-infrastructure role; posted field: updated 3 weeks before retrieval</t>
  </si>
  <si>
    <t xml:space="preserve">CL-036</t>
  </si>
  <si>
    <t xml:space="preserve">(IND) Staff, Software Engineer (UGC, Ratings &amp; Reviews)</t>
  </si>
  <si>
    <t xml:space="preserve">R-2664484</t>
  </si>
  <si>
    <t xml:space="preserve">https://walmart.wd504.myworkdayjobs.com/WalmartExternal/job/IN-KA-BANGALORE-Home-Office-PTPP1/XMLNAME--IND--STAFF--SOFTWARE-ENGINEER_R-2664484</t>
  </si>
  <si>
    <t xml:space="preserve">Technical leadership for the UGC 2.0 platform (ratings, reviews, seller feedback): cloud-native, event-driven backend services</t>
  </si>
  <si>
    <t xml:space="preserve">10+ in large distributed systems</t>
  </si>
  <si>
    <t xml:space="preserve">Go or Java</t>
  </si>
  <si>
    <t xml:space="preserve">Go or Java (product); Azure or GCP (product); Kubernetes and containerized microservices (product); event-driven architecture and Kafka (capability); Cosmos DB or BigQuery (product); API design, scalability, fault tolerance (capability); observability (capability); CI/CD and DevSecOps (capability); incident management (capability)</t>
  </si>
  <si>
    <t xml:space="preserve">large e-commerce platforms (capability); moderation or recommendation systems (capability); streaming (capability); AI-assisted developer tools (capability); platform engineering (capability)</t>
  </si>
  <si>
    <t xml:space="preserve">production deployment and critical-incident root cause</t>
  </si>
  <si>
    <t xml:space="preserve">office-based</t>
  </si>
  <si>
    <t xml:space="preserve">AI-assisted developer tools only</t>
  </si>
  <si>
    <t xml:space="preserve">Azure or GCP required</t>
  </si>
  <si>
    <t xml:space="preserve">read on the Dreamwork mirror (posted 1 week ago); product backend platform, not infrastructure; Go is one of two allowed languages; posted per mirror: about 1 week before retrieval</t>
  </si>
  <si>
    <t xml:space="preserve">CL-037</t>
  </si>
  <si>
    <t xml:space="preserve">Senior Engineer - Fabric Gateway</t>
  </si>
  <si>
    <t xml:space="preserve">7762102003 (Greenhouse job ID)</t>
  </si>
  <si>
    <t xml:space="preserve">https://job-boards.greenhouse.io/postman/jobs/7762102003</t>
  </si>
  <si>
    <t xml:space="preserve">Build Fabric Gateway, a new policy-driven control plane for how AI agents connect to APIs, services and other agents</t>
  </si>
  <si>
    <t xml:space="preserve">6+ infrastructure or platform software</t>
  </si>
  <si>
    <t xml:space="preserve">infrastructure or platform software in cloud-native SaaS (capability); 0-to-1 systems taken to production at scale (capability); high-throughput distributed systems (capability); Go and systems programming (product); mTLS, JWT, OAuth 2.0, RBAC/ABAC (capability); ownership and communication (capability)</t>
  </si>
  <si>
    <t xml:space="preserve">gateway or platform products (capability); HTTP/2, gRPC, WebSockets (product); Helm, operators, CRDs (product); open-source infrastructure (capability)</t>
  </si>
  <si>
    <t xml:space="preserve">0-to-1 system taken to production and operated at scale, with on-call</t>
  </si>
  <si>
    <t xml:space="preserve">IBM Circuit Breaker gate built end to end (per plan s2, Om to confirm)</t>
  </si>
  <si>
    <t xml:space="preserve">office (3 days, moving to 5)</t>
  </si>
  <si>
    <t xml:space="preserve">AI agents gateway (no AI skills listed)</t>
  </si>
  <si>
    <t xml:space="preserve">read on the Dreamwork mirror; control plane for agent traffic, recorded as app because no GPU or model serving is involved; posted field: updated 1 week before retrieval</t>
  </si>
  <si>
    <t xml:space="preserve">CL-038</t>
  </si>
  <si>
    <t xml:space="preserve">Senior Software Engineer I (Engineering &amp; Architecture)</t>
  </si>
  <si>
    <t xml:space="preserve">26013919 (Oracle HCM job)</t>
  </si>
  <si>
    <t xml:space="preserve">https://egug.fa.us2.oraclecloud.com/hcmUI/CandidateExperience/en/sites/CX_1/job/26013919</t>
  </si>
  <si>
    <t xml:space="preserve">2026-10-21</t>
  </si>
  <si>
    <t xml:space="preserve">Hands-on Go engineer for large-scale enterprise microservices and high-volume client APIs, with team leadership duties</t>
  </si>
  <si>
    <t xml:space="preserve">8+ (preferred)</t>
  </si>
  <si>
    <t xml:space="preserve">Java, JavaScript preferred</t>
  </si>
  <si>
    <t xml:space="preserve">Go (product); microservices and REST APIs (capability); Kafka (product); data structures and algorithms (capability); Go unit and component testing (capability); Jenkins, GitHub CI (product); PostgreSQL, Elasticsearch, Couchbase, Cassandra (product); Docker and Kubernetes (product)</t>
  </si>
  <si>
    <t xml:space="preserve">loyalty, rewards or card industry (capability); distributed technologies (capability); open source (capability); payments (capability)</t>
  </si>
  <si>
    <t xml:space="preserve">AWS named</t>
  </si>
  <si>
    <t xml:space="preserve">read on the Dreamwork mirror (posted 6 days ago); product backend in Go rather than infrastructure; also hiring, budgeting and vendor duties; posted computed from: 6 days before retrieval</t>
  </si>
  <si>
    <t xml:space="preserve">CL-039</t>
  </si>
  <si>
    <t xml:space="preserve">Senior Architect Software Development Engineer (SMTS, SPSE automation)</t>
  </si>
  <si>
    <t xml:space="preserve">93520</t>
  </si>
  <si>
    <t xml:space="preserve">https://careers.amd.com/jobs/93520?lang=en-us</t>
  </si>
  <si>
    <t xml:space="preserve">Lead architecture and development of an automation framework, APIs and Azure cloud services for post-silicon validation and ASIC bring-up</t>
  </si>
  <si>
    <t xml:space="preserve">SMTS (senior)</t>
  </si>
  <si>
    <t xml:space="preserve">none labelled required</t>
  </si>
  <si>
    <t xml:space="preserve">Python or Java preferred; ReactJS or Vue.js optional</t>
  </si>
  <si>
    <t xml:space="preserve">Python or Java (product); REST, XML, JSON (capability); automated testing and CI/CD, Jenkins (product); root-cause analysis (capability); data structures and algorithms (capability); Docker and Kubernetes (product); Azure, AWS or GCP (product); concurrency (capability); large-scale systems (capability)</t>
  </si>
  <si>
    <t xml:space="preserve">track record improving large-scale systems</t>
  </si>
  <si>
    <t xml:space="preserve">IBM upgrade automation framework (per plan s2, Om to confirm)</t>
  </si>
  <si>
    <t xml:space="preserve">Azure in duties; AWS or GCP preferred</t>
  </si>
  <si>
    <t xml:space="preserve">read on the Dreamwork mirror (posted 2 weeks ago); hardware-validation automation domain, Python-led; no required list; posted per mirror: about 2 weeks before retrieval</t>
  </si>
  <si>
    <t xml:space="preserve">CL-040</t>
  </si>
  <si>
    <t xml:space="preserve">Staff Engineer - Systems Engineering (Samvaad platform)</t>
  </si>
  <si>
    <t xml:space="preserve">d71ec2a3-3de6-4380-95f6-41cfc2bbdbf2</t>
  </si>
  <si>
    <t xml:space="preserve">https://jobs.ashbyhq.com/sarvam/d71ec2a3-3de6-4380-95f6-41cfc2bbdbf2</t>
  </si>
  <si>
    <t xml:space="preserve">Own the backend for agent, campaign and user management of a multi-tenant conversational AI SaaS: data model, APIs, Temporal workflow orchestration, observability, integration-test infrastructure</t>
  </si>
  <si>
    <t xml:space="preserve">8-12</t>
  </si>
  <si>
    <t xml:space="preserve">Go as the alternative to Python</t>
  </si>
  <si>
    <t xml:space="preserve">production backend systems (capability); Python and FastAPI or Go (product); workflow orchestration at scale, ideally Temporal (product); multi-tenant low-latency distributed systems (capability); PostgreSQL and Redis schema, query and caching (product); end-to-end design and production ownership (capability)</t>
  </si>
  <si>
    <t xml:space="preserve">products built on LLMs or AI/ML systems (capability); telephony, VoIP or SIP (capability); early-stage startup experience (capability)</t>
  </si>
  <si>
    <t xml:space="preserve">designed systems end to end and operated them in production; built and operated high-scale distributed systems</t>
  </si>
  <si>
    <t xml:space="preserve">IBM Cloud production services owned (per plan s2, Om to confirm)</t>
  </si>
  <si>
    <t xml:space="preserve">LLMs; AI/ML systems; conversational AI</t>
  </si>
  <si>
    <t xml:space="preserve">read on the Dreamwork mirror (posted 3 weeks ago); mirror pay range is an estimate, not employer-stated, so pay unknown; ai_infra app because the product is conversational AI and LLM work is only nice-to-have; second Sarvam role after CL-007; posted per mirror: about 3 weeks before retrieval</t>
  </si>
  <si>
    <t xml:space="preserve">CL-041</t>
  </si>
  <si>
    <t xml:space="preserve">Staff Software Engineer - Backend</t>
  </si>
  <si>
    <t xml:space="preserve">8320187002</t>
  </si>
  <si>
    <t xml:space="preserve">https://databricks.com/company/careers/open-positions/job?gh_jid=8320187002</t>
  </si>
  <si>
    <t xml:space="preserve">Backend platform work across distributed systems, service architecture, workflow orchestration and storage services on cloud object stores (S3, Azure Blob); pricing and usage-control pipelines</t>
  </si>
  <si>
    <t xml:space="preserve">Python is one allowed language</t>
  </si>
  <si>
    <t xml:space="preserve">12+ years production experience in one of Python, Java, Scala, C++ (product); large-scale distributed systems from scratch (capability); SaaS platform or service-oriented architecture (capability)</t>
  </si>
  <si>
    <t xml:space="preserve">none listed</t>
  </si>
  <si>
    <t xml:space="preserve">12+ years production-level experience in one language</t>
  </si>
  <si>
    <t xml:space="preserve">12 years at IBM, Python production work (per plan s2, Om to confirm)</t>
  </si>
  <si>
    <t xml:space="preserve">AWS S3 and Azure Blob in duties</t>
  </si>
  <si>
    <t xml:space="preserve">read on the Dreamwork mirror; third Databricks role (CL-011, CL-035); Kubernetes named in duties only; 12+ years equals Om s 12, but the 12 must be production coding in one language, which Om must check honestly; posted field: unknown (updated about 1 month before retrieval)</t>
  </si>
  <si>
    <t xml:space="preserve">CL-042</t>
  </si>
  <si>
    <t xml:space="preserve">Sr Software Engineer - Cloud Platform, Kubernetes Development</t>
  </si>
  <si>
    <t xml:space="preserve">744000150360307</t>
  </si>
  <si>
    <t xml:space="preserve">https://jobs.smartrecruiters.com/ServiceNow/744000150360307-sr-software-engineer-cloud-platform-kubernetes-development</t>
  </si>
  <si>
    <t xml:space="preserve">Design, build and operate Kubernetes platform components; write Go for controllers, operators, platform services and automation; FedRAMP constraints</t>
  </si>
  <si>
    <t xml:space="preserve">Go, or strong systems-language skills with willingness to work mainly in Go</t>
  </si>
  <si>
    <t xml:space="preserve">built and shipped Kubernetes platform components in production (capability); Go (product); one hyperscaler AWS, Azure or GCP incl. compute, networking, IAM (product); containers, CI/CD, GitOps, infrastructure as code (capability); integrating AI into engineering work (capability)</t>
  </si>
  <si>
    <t xml:space="preserve">Kubernetes controllers or operators (capability); CNI, service mesh, workload identity, mTLS (capability); secrets and certificate lifecycle (capability); metrics, tracing, SLOs (capability); EKS/AKS/GKE (product); Terraform (product); Crossplane (product)</t>
  </si>
  <si>
    <t xml:space="preserve">already built and shipped Kubernetes platform components in production, designed and owned</t>
  </si>
  <si>
    <t xml:space="preserve">IBM Cloud Kubernetes Service upgrades in production (per plan s2, Om to confirm)</t>
  </si>
  <si>
    <t xml:space="preserve">AI in engineering work (tooling)</t>
  </si>
  <si>
    <t xml:space="preserve">any one hyperscaler required</t>
  </si>
  <si>
    <t xml:space="preserve">read on the Dreamwork mirror (posted 1 week ago); different requisition from CL-012; lane c because controllers and operators are in the duties; includes on-call for what the team builds, building is still the main duty; ai_req required refers to AI-assisted engineering, not AI infrastructure; posted per mirror: about 1 week before retrieval</t>
  </si>
  <si>
    <t xml:space="preserve">CL-044</t>
  </si>
  <si>
    <t xml:space="preserve">Staff Backend Engineer (Golang)</t>
  </si>
  <si>
    <t xml:space="preserve">4701316005</t>
  </si>
  <si>
    <t xml:space="preserve">https://job-boards.greenhouse.io/endorlabs/jobs/4701316005</t>
  </si>
  <si>
    <t xml:space="preserve">Architect and build core backend infrastructure for a SaaS security product in Go microservices; lead large technical projects</t>
  </si>
  <si>
    <t xml:space="preserve">10+ (3+ in Go)</t>
  </si>
  <si>
    <t xml:space="preserve">Go (3+ years)</t>
  </si>
  <si>
    <t xml:space="preserve">scalable SaaS backends (capability); Go microservices, 3+ years (product); API design with gRPC, REST, GraphQL or Thrift (product); distributed systems design and troubleshooting (capability); architecture trade-offs (capability)</t>
  </si>
  <si>
    <t xml:space="preserve">gRPC (product)</t>
  </si>
  <si>
    <t xml:space="preserve">10+ years building scalable backends for product or SaaS companies; 3+ years Go</t>
  </si>
  <si>
    <t xml:space="preserve">none for 3 years of Go in production; Go is a Gate A skill (per plan s2, Om to confirm)</t>
  </si>
  <si>
    <t xml:space="preserve">company not on Claude s list (wider internet); read on the Dreamwork mirror; Go-led backend with no Kubernetes named, recorded b as Go-led like CL-038; the 3-year Go screen is a gap for Om today; posted field: unknown (updated about 2 weeks before retrieval)</t>
  </si>
  <si>
    <t xml:space="preserve">CL-045</t>
  </si>
  <si>
    <t xml:space="preserve">Senior Staff Engineer - Compute (Batch Data Platform)</t>
  </si>
  <si>
    <t xml:space="preserve">303099</t>
  </si>
  <si>
    <t xml:space="preserve">https://iaziqy.fa.ocs.oraclecloud.com/hcmUI/CandidateExperience/en/sites/CX_1/job/303099</t>
  </si>
  <si>
    <t xml:space="preserve">Design architecture and tools for the batch compute platform (YARN and batch Kubernetes): reliability, efficiency, scaling, automation of capacity planning, configuration and monitoring</t>
  </si>
  <si>
    <t xml:space="preserve">Senior Staff</t>
  </si>
  <si>
    <t xml:space="preserve">12+ years backend development (capability); organisation-wide technical leadership (capability); large-scale projects end to end (capability); testing, monitoring and alerting standards (capability); architectural gap analysis and frameworks (capability)</t>
  </si>
  <si>
    <t xml:space="preserve">big-data resource managers YARN, Kubernetes, containers (product); hardened developer tools, SDKs and abstractions (capability); GCP and Kubernetes at global scale (product)</t>
  </si>
  <si>
    <t xml:space="preserve">12+ years backend development; led large-scale projects through all lifecycle stages</t>
  </si>
  <si>
    <t xml:space="preserve">12 years at IBM incl. IKS production upgrades (per plan s2, Om to confirm)</t>
  </si>
  <si>
    <t xml:space="preserve">GCP preferred</t>
  </si>
  <si>
    <t xml:space="preserve">read on the Dreamwork mirror (posted 2 weeks ago); Uber s own pages were unreadable; Senior Staff is a stretch level for Phase 1; build_share half because automation and capacity work sit beside architecture; no language named; posted per mirror: about 2 weeks before retrieval</t>
  </si>
  <si>
    <t xml:space="preserve">CL-046</t>
  </si>
  <si>
    <t xml:space="preserve">India (location not narrowed)</t>
  </si>
  <si>
    <t xml:space="preserve">Senior Software Engineer, Backend &amp; Infrastructure (Scaled Services)</t>
  </si>
  <si>
    <t xml:space="preserve">6126490004</t>
  </si>
  <si>
    <t xml:space="preserve">https://job-boards.greenhouse.io/coursera/jobs/6126490004</t>
  </si>
  <si>
    <t xml:space="preserve">Build, scale and maintain infrastructure and platforms for production agentic AI solutions for enterprise customers; lead architecture for availability and scale</t>
  </si>
  <si>
    <t xml:space="preserve">5+ (1+ in agentic AI)</t>
  </si>
  <si>
    <t xml:space="preserve">one of Python, Java, Node.js or Go</t>
  </si>
  <si>
    <t xml:space="preserve">Python or Go are allowed choices</t>
  </si>
  <si>
    <t xml:space="preserve">backend engineering and cloud infrastructure (capability); production agentic AI solutions, 1+ years (capability); Python, Java, Node.js or Go (product); Docker, Kubernetes, Kafka (product); APIs, SQL and NoSQL, end-to-end tests (capability); AWS, GCP or Azure (product); Terraform (product); GitHub Actions or Jenkins (product); leading projects (capability)</t>
  </si>
  <si>
    <t xml:space="preserve">RAG, MCP, LangGraph, LangFuse (product); ambiguity and limited supervision (capability)</t>
  </si>
  <si>
    <t xml:space="preserve">1+ years building production agentic AI solutions</t>
  </si>
  <si>
    <t xml:space="preserve">none for agentic AI in production (per plan s2, Om to confirm)</t>
  </si>
  <si>
    <t xml:space="preserve">agentic AI; RAG; MCP; LangGraph; LangFuse</t>
  </si>
  <si>
    <t xml:space="preserve">one of AWS, GCP or Azure required</t>
  </si>
  <si>
    <t xml:space="preserve">company not on Claude s list (wider internet); read on the Dreamwork mirror; ai_infra app because the platform hosts agentic AI applications, not model serving; the agentic-AI production screen is a gap for Om; posted field: unknown (updated about 6 days before retrieval)</t>
  </si>
  <si>
    <t xml:space="preserve">CL-047</t>
  </si>
  <si>
    <t xml:space="preserve">Senior Software Engineer I - Storage (object storage)</t>
  </si>
  <si>
    <t xml:space="preserve">7986226</t>
  </si>
  <si>
    <t xml:space="preserve">https://www.digitalocean.com/careers/position/apply/?gh_jid=7986226</t>
  </si>
  <si>
    <t xml:space="preserve">Lead engineering on object storage: design, develop and operate distributed storage systems in Go; shared responsibility for availability and performance</t>
  </si>
  <si>
    <t xml:space="preserve">unknown (Go named as the main language, not labelled)</t>
  </si>
  <si>
    <t xml:space="preserve">object or distributed storage at scale, 7+ years (capability); MinIO, Ceph, AWS S3, Scality or similar (product); concurrency and parallelism in a modern language (capability); availability and performance ownership (capability)</t>
  </si>
  <si>
    <t xml:space="preserve">gRPC (product); Ceph and other distributed data stores (product); storage hardware (capability)</t>
  </si>
  <si>
    <t xml:space="preserve">7+ years with object or distributed storage</t>
  </si>
  <si>
    <t xml:space="preserve">none for object storage internals (per plan s2, Om to confirm)</t>
  </si>
  <si>
    <t xml:space="preserve">read on the Dreamwork mirror; third DigitalOcean row; lane d because building storage platform software is the main duty; the 7-year storage screen is a gap for Om; posted field: unknown (updated about 1 week before retrieval)</t>
  </si>
  <si>
    <t xml:space="preserve">CL-048</t>
  </si>
  <si>
    <t xml:space="preserve">Staff Software Engineer - Infrastructure, Kubernetes (telemetry platform)</t>
  </si>
  <si>
    <t xml:space="preserve">744000155189989</t>
  </si>
  <si>
    <t xml:space="preserve">https://jobs.smartrecruiters.com/ServiceNow/744000155189989-staff-software-engineer-infrastructure-kubernetes</t>
  </si>
  <si>
    <t xml:space="preserve">Design and run backend services for high-volume telemetry streaming: Kafka pipelines into ClickHouse, services on Kubernetes with Helm and CI/CD, observability and on-call; about two-thirds infrastructure and pipelines</t>
  </si>
  <si>
    <t xml:space="preserve">Staff (IC4)</t>
  </si>
  <si>
    <t xml:space="preserve">8+ (4+ distributed systems, 3+ Kubernetes in production, 3+ Kafka, 3+ on-call)</t>
  </si>
  <si>
    <t xml:space="preserve">one of Java, Python or Go; SQL; JavaScript or TypeScript for front-end work</t>
  </si>
  <si>
    <t xml:space="preserve">backend in Java, Python or Go at scale (product); distributed streaming, processing and storage systems (capability); Kubernetes in production with Helm and CI/CD (product); Kafka or equivalent (product); SQL and a columnar or analytical store (product); incident response (capability); React or Angular front-end (product)</t>
  </si>
  <si>
    <t xml:space="preserve">ClickHouse or other OLAP store (product); OpenTelemetry and alerting stacks (product); Flink or Spark (product); client-side instrumentation SDKs (capability)</t>
  </si>
  <si>
    <t xml:space="preserve">3+ years Kubernetes in production incl. Helm; 3+ years on-call and production ownership</t>
  </si>
  <si>
    <t xml:space="preserve">IBM Cloud Kubernetes production work and on-call (per plan s2, Om to confirm)</t>
  </si>
  <si>
    <t xml:space="preserve">LLM APIs in production features; RAG; embedding stores; agent frameworks; MCP</t>
  </si>
  <si>
    <t xml:space="preserve">read on the Dreamwork mirror (posted 2 weeks ago); page says about two-thirds of time on infrastructure, pipelines, Kubernetes and DevOps, so build_share half; on-call included; LLM integration listed under AI skills, not a hard requirement; front-end requirement is a gap for Om; posted per mirror: about 2 weeks before retrieval</t>
  </si>
  <si>
    <t xml:space="preserve">CL-049</t>
  </si>
  <si>
    <t xml:space="preserve">Lead Software Engineer - Python (macro trading platforms)</t>
  </si>
  <si>
    <t xml:space="preserve">210797337</t>
  </si>
  <si>
    <t xml:space="preserve">https://jpmc.fa.oraclecloud.com/hcmUI/CandidateExperience/en/sites/CX_100/job/210797337</t>
  </si>
  <si>
    <t xml:space="preserve">2026-10-23</t>
  </si>
  <si>
    <t xml:space="preserve">Design, develop and troubleshoot Python software for trading platforms; automate remediation of recurring issues; lead architecture evaluations</t>
  </si>
  <si>
    <t xml:space="preserve">Lead (Staff band per mirror)</t>
  </si>
  <si>
    <t xml:space="preserve">React.js and Node.js preferred for UI</t>
  </si>
  <si>
    <t xml:space="preserve">8+ years applied software engineering (capability); system design, testing, operational stability (capability); advanced Python (product); OOP (capability); automation and continuous delivery (capability); CI/CD, application resiliency, security (capability); financial services IT knowledge (capability); practical cloud-native experience (capability)</t>
  </si>
  <si>
    <t xml:space="preserve">AWS data sources (product); SecDB, Athena, Quartz platforms (product); macro trading knowledge (capability); React, Node.js, microservices (product); distributed computing, data modeling, performance engineering (capability)</t>
  </si>
  <si>
    <t xml:space="preserve">8+ years applied experience</t>
  </si>
  <si>
    <t xml:space="preserve">12 years at IBM incl. Python production work (per plan s2, Om to confirm)</t>
  </si>
  <si>
    <t xml:space="preserve">AI and ML named only as example disciplines</t>
  </si>
  <si>
    <t xml:space="preserve">AWS preferred</t>
  </si>
  <si>
    <t xml:space="preserve">read on the Dreamwork mirror (posted 4 days ago); product backend for trading, not infrastructure; financial-services knowledge is required, a gap for Om; posted computed from: about 4 days before retrieval</t>
  </si>
  <si>
    <t xml:space="preserve">CL-050</t>
  </si>
  <si>
    <t xml:space="preserve">Staff Engineer - Nutanix Kubernetes Platform (NKP)</t>
  </si>
  <si>
    <t xml:space="preserve">32362</t>
  </si>
  <si>
    <t xml:space="preserve">https://careers.nutanix.com/en/jobs/32362/staff-engineer-nutanix-kubernetes-platform-nkp/</t>
  </si>
  <si>
    <t xml:space="preserve">Lead design of NKP components (multi-tenancy, resilience, fleet management incl. edge); lead 5-10 engineers; upstream Cluster API work</t>
  </si>
  <si>
    <t xml:space="preserve">Staff (senior staff in body)</t>
  </si>
  <si>
    <t xml:space="preserve">one of Go, Python or Java</t>
  </si>
  <si>
    <t xml:space="preserve">12+ years software development in product companies (capability); Go, Python or Java (product); consensus across teams (capability)</t>
  </si>
  <si>
    <t xml:space="preserve">Kubernetes internals, controllers and API machinery (capability); cloud-native systems, containers, large-scale control plane management (capability)</t>
  </si>
  <si>
    <t xml:space="preserve">12+ years in product-led companies</t>
  </si>
  <si>
    <t xml:space="preserve">hybrid (3 days onsite)</t>
  </si>
  <si>
    <t xml:space="preserve">read on the Nutanix career page; no posted date on the page (page metadata modified 2026-07-20, site-wide, not used); open per Apply Now; Pune twin (32373) excluded for its 14-18 year title</t>
  </si>
  <si>
    <t xml:space="preserve">CL-051</t>
  </si>
  <si>
    <t xml:space="preserve">Staff Software Engineer - Dev - CPaaS (12-16 years experience)</t>
  </si>
  <si>
    <t xml:space="preserve">31559</t>
  </si>
  <si>
    <t xml:space="preserve">https://careers.nutanix.com/en/jobs/31559/staff-software-engineer-dev-cpaas-12-16-years-experience/</t>
  </si>
  <si>
    <t xml:space="preserve">Lead design and performance of on-prem and hybrid-cloud data platform components (data engines, messaging) running as stateful services on Kubernetes</t>
  </si>
  <si>
    <t xml:space="preserve">12-16</t>
  </si>
  <si>
    <t xml:space="preserve">one of Go, C++ or Rust (expert)</t>
  </si>
  <si>
    <t xml:space="preserve">Python (comfortable using)</t>
  </si>
  <si>
    <t xml:space="preserve">building and scaling large software, 12+ years (capability); Go, C++ or Rust expert (product); data engine internals such as ClickHouse, Prometheus, VictoriaMetrics, PostgreSQL, MySQL, NATS, Kafka (product); Kubernetes architecture (product); operating big-data systems on-prem or hybrid (capability); AI tools in the SDLC (capability)</t>
  </si>
  <si>
    <t xml:space="preserve">12+ years building and scaling large-scale software</t>
  </si>
  <si>
    <t xml:space="preserve">12 years at IBM (per plan s2, Om to confirm); expert Go not yet</t>
  </si>
  <si>
    <t xml:space="preserve">AI tools in the SDLC</t>
  </si>
  <si>
    <t xml:space="preserve">read on the Nutanix career page; no posted date; expert Go and data-engine internals are gaps for Om; ai_req required means AI-assisted development</t>
  </si>
  <si>
    <t xml:space="preserve">CL-052</t>
  </si>
  <si>
    <t xml:space="preserve">Staff Software Engineer (GoLang, Kubernetes Operators, CRD)</t>
  </si>
  <si>
    <t xml:space="preserve">744000152129144</t>
  </si>
  <si>
    <t xml:space="preserve">https://jobs.smartrecruiters.com/ServiceNow/744000152129144-staff-software-engineer-golang-kubernetes-operators-crd-</t>
  </si>
  <si>
    <t xml:space="preserve">2026-09-28</t>
  </si>
  <si>
    <t xml:space="preserve">Own design and delivery of Kubernetes platform subsystems (secrets and certificates, workload identity, storage, cluster networking); most time hands-on in operators, controllers, automation and platform services; on-call for own systems</t>
  </si>
  <si>
    <t xml:space="preserve">built and operated Kubernetes platform infrastructure in production (capability); Go with production controller or operator work (product); one hyperscaler AWS, Azure or GCP incl. compute, networking, IAM (product); owning components end to end (capability); containers, CI/CD, GitOps, infrastructure as code (capability); AI in engineering and platform work (capability)</t>
  </si>
  <si>
    <t xml:space="preserve">EKS/AKS/GKE plus self-managed clusters (product); CNI or service mesh (capability); mTLS, workload identity, secrets at fleet scale (capability); metrics, tracing, SLOs (capability); Terraform or Crossplane (product); data or compute workloads on Kubernetes (capability)</t>
  </si>
  <si>
    <t xml:space="preserve">built and operated Kubernetes platform infrastructure in production at scale; production controller or operator work in Go</t>
  </si>
  <si>
    <t xml:space="preserve">IKS production upgrades (per plan s2, Om to confirm); no production controller work yet (OP7 later)</t>
  </si>
  <si>
    <t xml:space="preserve">AI-powered tooling; automated ops; agentic systems</t>
  </si>
  <si>
    <t xml:space="preserve">one hyperscaler required</t>
  </si>
  <si>
    <t xml:space="preserve">read on the freehire mirror with posted and updated dates (Sep 28 and 29, 2026); the Dreamwork copy did not load and is not counted separately; the production-controller screen is a gap for Om today</t>
  </si>
  <si>
    <t xml:space="preserve">CL-054</t>
  </si>
  <si>
    <t xml:space="preserve">Software Engineer, API (Python)</t>
  </si>
  <si>
    <t xml:space="preserve">11886173 (Built In id)</t>
  </si>
  <si>
    <t xml:space="preserve">https://builtinbengaluru.in/job/software-engineer-api-python/11886173</t>
  </si>
  <si>
    <t xml:space="preserve">Build data-integration platform features end to end in Python: data model, internal and customer APIs, MySQL and Postgres data layer with migrations, multi-tenancy, background processing</t>
  </si>
  <si>
    <t xml:space="preserve">Python (primary); SQL</t>
  </si>
  <si>
    <t xml:space="preserve">7+ years with Python as primary language (product); FastAPI or similar async framework plus SQLAlchemy (product); async patterns, dependency injection, ORM trade-offs (capability); SQL schema design, indexing, query plans (capability); unit and integration tests (capability); production ownership with monitoring, alerting, incident response (capability); AI tools in daily work (capability)</t>
  </si>
  <si>
    <t xml:space="preserve">AWS or GCP (product); Celery, Dramatiq or similar (product); Kafka, RabbitMQ or Redis Streams (product); data-intensive or data-integration systems (capability)</t>
  </si>
  <si>
    <t xml:space="preserve">owned production systems with operational discipline</t>
  </si>
  <si>
    <t xml:space="preserve">IBM production services owned (per plan s2, Om to confirm)</t>
  </si>
  <si>
    <t xml:space="preserve">hybrid (2 days in office per the description)</t>
  </si>
  <si>
    <t xml:space="preserve">AI tools in engineering</t>
  </si>
  <si>
    <t xml:space="preserve">company not on Claude s list (wider internet); read on Built In Bengaluru (posted yesterday, so 2026-10-26); no employer link on the page; product backend, closest match to PRCP s Python, SQLAlchemy and Postgres stack</t>
  </si>
  <si>
    <t xml:space="preserve">CL-055</t>
  </si>
  <si>
    <t xml:space="preserve">Senior Staff Engineer - Data Platform</t>
  </si>
  <si>
    <t xml:space="preserve">303098</t>
  </si>
  <si>
    <t xml:space="preserve">https://iaziqy.fa.ocs.oraclecloud.com/hcmUI/CandidateExperience/en/sites/CX_1/job/303098</t>
  </si>
  <si>
    <t xml:space="preserve">Design architecture and tools for the big-data platform (availability, performance, efficiency, scaling); automate capacity planning, configuration, tuning and monitoring; org-wide technical leadership</t>
  </si>
  <si>
    <t xml:space="preserve">12+ years backend and distributed systems in production (capability); org-wide framework adoption (capability); large projects end to end (capability); testing, monitoring, alerting standards and incident management (capability); stakeholder leadership (capability)</t>
  </si>
  <si>
    <t xml:space="preserve">Spark, Hive, Hudi, Iceberg, Presto, Flink, Pinot, HDFS, YARN (product); developer tools, SDKs and abstractions (capability); GCP and Kubernetes at global scale (product)</t>
  </si>
  <si>
    <t xml:space="preserve">12+ years backend in large-scale production</t>
  </si>
  <si>
    <t xml:space="preserve">12 years at IBM (per plan s2, Om to confirm); no big-data platform history</t>
  </si>
  <si>
    <t xml:space="preserve">hybrid (at least 50% in office)</t>
  </si>
  <si>
    <t xml:space="preserve">read on the Dreamwork mirror (posted 1 week ago); twin of CL-045 (requisition 303099) on the data platform side; Senior Staff stretch level; lane d because it builds the data platform; posted per mirror: about 1 week before retrieval</t>
  </si>
  <si>
    <t xml:space="preserve">CL-056</t>
  </si>
  <si>
    <t xml:space="preserve">Gurugram</t>
  </si>
  <si>
    <t xml:space="preserve">Senior Software Engineer (Gurugram Products &amp; Technology, new platform team)</t>
  </si>
  <si>
    <t xml:space="preserve">7590644</t>
  </si>
  <si>
    <t xml:space="preserve">https://www.mongodb.com/careers/job/?gh_jid=7590644</t>
  </si>
  <si>
    <t xml:space="preserve">Define and build core components of a new high-scale compute and data distributed platform with research and product teams</t>
  </si>
  <si>
    <t xml:space="preserve">none labelled required (interest in Python, Go and Java)</t>
  </si>
  <si>
    <t xml:space="preserve">Python, Go, Java</t>
  </si>
  <si>
    <t xml:space="preserve">core components for high-scale compute and data distributed systems (capability); 5+ years distributed systems or foundational cloud services (capability); design, test, debug, performance tuning (capability); delivering complex projects (capability)</t>
  </si>
  <si>
    <t xml:space="preserve">Kubernetes or other orchestration (product); AI frameworks and tools (capability)</t>
  </si>
  <si>
    <t xml:space="preserve">5+ years building distributed systems or cloud services at scale</t>
  </si>
  <si>
    <t xml:space="preserve">IBM Cloud services work (per plan s2, Om to confirm)</t>
  </si>
  <si>
    <t xml:space="preserve">hybrid (Gurugram-based candidates)</t>
  </si>
  <si>
    <t xml:space="preserve">AI frameworks and tools</t>
  </si>
  <si>
    <t xml:space="preserve">read on the Dreamwork mirror; second MongoDB row (CL-010); the requisition number is older than CL-010 s, so the original posting may be older than 3 months; re-check in W6; posted field: unknown (updated about 1 day before retrieval)</t>
  </si>
  <si>
    <t xml:space="preserve">CL-057</t>
  </si>
  <si>
    <t xml:space="preserve">Senior Staff Engineer Software (Prisma Cloud and Cortex Cloud backend)</t>
  </si>
  <si>
    <t xml:space="preserve">JR-021904</t>
  </si>
  <si>
    <t xml:space="preserve">https://paloaltonetworks.wd5.myworkdayjobs.com/panwexternalcareers/job/Office---India---Bangalore-Bagmane-Tech-Park/Senior-Staff-Engineer-Software_JR-021904</t>
  </si>
  <si>
    <t xml:space="preserve">Lead design and build of backend services and microservices for Prisma Cloud and Cortex Cloud, mainly in Go, Java and Python</t>
  </si>
  <si>
    <t xml:space="preserve">one or more of Java, Go, Python</t>
  </si>
  <si>
    <t xml:space="preserve">Go or Python are allowed choices</t>
  </si>
  <si>
    <t xml:space="preserve">5+ years backend development and scalable distributed systems (capability); Java, Go and/or Python (product); microservices, event-driven architecture (capability); system design, data modeling, REST and gRPC API design (capability)</t>
  </si>
  <si>
    <t xml:space="preserve">cloud security context (capability); GCP, AWS or Azure and Docker, Kubernetes (product); SQL and NoSQL, Kafka or RabbitMQ, caching (product); troubleshooting (capability)</t>
  </si>
  <si>
    <t xml:space="preserve">5+ years backend with a track record of scalable distributed systems</t>
  </si>
  <si>
    <t xml:space="preserve">IBM Cloud backend services (per plan s2, Om to confirm)</t>
  </si>
  <si>
    <t xml:space="preserve">any cloud preferred</t>
  </si>
  <si>
    <t xml:space="preserve">read on the Dreamwork mirror (posted 1 month ago); Go, Java and Python all named, recorded a like CL-004; posted per mirror: about 1 month before retrieval</t>
  </si>
  <si>
    <t xml:space="preserve">CL-058</t>
  </si>
  <si>
    <t xml:space="preserve">Senior Software Engineer - Enterprise AI (internal platform)</t>
  </si>
  <si>
    <t xml:space="preserve">8273699</t>
  </si>
  <si>
    <t xml:space="preserve">https://www.rubrik.com/company/careers/departments/job.8273699?gh_jid=8273699</t>
  </si>
  <si>
    <t xml:space="preserve">Own platform initiatives end to end: Kubernetes clusters, networking, operators and multi-tenant orchestration; distributed cloud-native services on AWS or GCP for the internal enterprise AI platform</t>
  </si>
  <si>
    <t xml:space="preserve">9+</t>
  </si>
  <si>
    <t xml:space="preserve">9+ years backend and infrastructure engineering (capability); Python and/or Go production code (product); building and operating Kubernetes clusters (product); distributed systems in production (capability); AWS and/or GCP compute, storage, IAM, networking (product); Terraform or similar and CI/CD (product); applied AI tooling such as Claude, LiteLLM, AI gateways, agent frameworks (product); system design (capability)</t>
  </si>
  <si>
    <t xml:space="preserve">Prometheus, Grafana, Datadog, OpenTelemetry (product); multi-cloud or hybrid (capability); API and AI gateways, ABAC, OPA (product); service mesh or PaaS design (capability); engineering productivity at scale (capability)</t>
  </si>
  <si>
    <t xml:space="preserve">designing and operating distributed systems in production; building and operating Kubernetes clusters</t>
  </si>
  <si>
    <t xml:space="preserve">IKS cluster upgrades in production (per plan s2, Om to confirm)</t>
  </si>
  <si>
    <t xml:space="preserve">agentic AI tools; Claude; LiteLLM; AI gateways; agent frameworks</t>
  </si>
  <si>
    <t xml:space="preserve">AWS and/or GCP required</t>
  </si>
  <si>
    <t xml:space="preserve">read on the Dreamwork mirror; IT and Services department, so an internal platform; operators named in duties but not in the requirements; ai_infra app because the AI items are LLM gateways and agent tools, not model serving; posted field: unknown (updated about 3 days before retrieval)</t>
  </si>
  <si>
    <t xml:space="preserve">CL-059</t>
  </si>
  <si>
    <t xml:space="preserve">Senior Software Engineer (observability platform)</t>
  </si>
  <si>
    <t xml:space="preserve">REF088166W</t>
  </si>
  <si>
    <t xml:space="preserve">https://visa.wd5.myworkdayjobs.com/Visa/job/IN---Bengaluru-India/Senior-Software-Engineer_REF088166W</t>
  </si>
  <si>
    <t xml:space="preserve">Build observability platform services, automation, APIs and self-service tools for monitoring, logging and tracing across hybrid and cloud environments</t>
  </si>
  <si>
    <t xml:space="preserve">2+ with a degree, or 5+</t>
  </si>
  <si>
    <t xml:space="preserve">none strictly required</t>
  </si>
  <si>
    <t xml:space="preserve">one of Go, Python or Java preferred</t>
  </si>
  <si>
    <t xml:space="preserve">2+ years relevant work with a degree, or 5+ years (capability)</t>
  </si>
  <si>
    <t xml:space="preserve">4+ years software, platform or SRE engineering (capability); production software in Go, Python or Java (product); distributed systems or platform services (capability); observability across metrics, logs, traces (capability); OpenTelemetry, Prometheus, Grafana, Fluent Bit, OpenSearch, Splunk (product); Kubernetes, Docker (product); Terraform, GitHub Actions, Ansible, GitOps (product); AWS, Azure, GCP or hybrid (product)</t>
  </si>
  <si>
    <t xml:space="preserve">hybrid (at least 3 days in office)</t>
  </si>
  <si>
    <t xml:space="preserve">read on the Dreamwork mirror (posted 6 days ago); 2+ years minimum, so it may sit below Om s band and the pay gate; observability platform work with SRE flavour, build_share half; posted computed from: about 6 days before retrieval</t>
  </si>
  <si>
    <t xml:space="preserve">CL-060</t>
  </si>
  <si>
    <t xml:space="preserve">Staff Software Engineer - Backend (Identity Security)</t>
  </si>
  <si>
    <t xml:space="preserve">8242317</t>
  </si>
  <si>
    <t xml:space="preserve">https://www.okta.com/company/careers/opportunity/8242317?gh_jid=8242317</t>
  </si>
  <si>
    <t xml:space="preserve">Lead design and build of scalable Python backend services and pipelines for the Identity Security product; raise standards for code, testing and monitoring</t>
  </si>
  <si>
    <t xml:space="preserve">8+ (3+ Python backend)</t>
  </si>
  <si>
    <t xml:space="preserve">Python (3+ years backend)</t>
  </si>
  <si>
    <t xml:space="preserve">8+ years enterprise distributed systems (capability); 3+ years Python backend services (product); backend architecture, pipeline design, data persistence (capability); relational and NoSQL or caching stores (product); CS fundamentals and scalable design patterns (capability)</t>
  </si>
  <si>
    <t xml:space="preserve">AWS and container orchestration (product); IAM, OAuth, OIDC, SAML, posture management, threat detection, cloud security (capability)</t>
  </si>
  <si>
    <t xml:space="preserve">8+ years building enterprise distributed systems</t>
  </si>
  <si>
    <t xml:space="preserve">read on the Dreamwork mirror (posted yesterday, so 2026-10-26); third Okta row; product backend rather than infrastructure</t>
  </si>
  <si>
    <t xml:space="preserve">CL-061</t>
  </si>
  <si>
    <t xml:space="preserve">Staff Software Engineer (PDX - Development Ecosystem - Services Paved Road) - Python</t>
  </si>
  <si>
    <t xml:space="preserve">88034920496 (URL id)</t>
  </si>
  <si>
    <t xml:space="preserve">https://jobs.intuit.com/job/bengaluru/staff-software-engineer-pdx-development-ecosystem-services-paved-road-python/27595/88034920496</t>
  </si>
  <si>
    <t xml:space="preserve">Drive platform capabilities for the services paved road: back-end systems, APIs and integration tools for Intuit developers; lead a 5-10 person scrum team; incidents and post-mortems</t>
  </si>
  <si>
    <t xml:space="preserve">a major language</t>
  </si>
  <si>
    <t xml:space="preserve">Python and Groovy preferred; React.js 1+ year required</t>
  </si>
  <si>
    <t xml:space="preserve">6+ years platform engineering and service-oriented architecture (capability); algorithms and data structures (capability); back-end integration, gRPC, REST, GraphQL APIs (capability); React.js 1+ year (product); Docker, Kubernetes, ArgoCD (product); Jenkins and GitOps (product); leading scrum teams end to end (capability); operational excellence incl. MTTD and MTTR (capability)</t>
  </si>
  <si>
    <t xml:space="preserve">Python and Groovy (product); jar and war deployment structures (capability)</t>
  </si>
  <si>
    <t xml:space="preserve">none beyond 6+ years</t>
  </si>
  <si>
    <t xml:space="preserve">IBM platform services (per plan s2, Om to confirm)</t>
  </si>
  <si>
    <t xml:space="preserve">hybrid (Intuit general policy)</t>
  </si>
  <si>
    <t xml:space="preserve">location from the URL path (bengaluru) as for CL-013; no posted date on the page, re-check in W6; the React requirement is a gap for Om</t>
  </si>
  <si>
    <t xml:space="preserve">CL-062</t>
  </si>
  <si>
    <t xml:space="preserve">Staff Software Engineer - AI Foundation (agent evaluation platform)</t>
  </si>
  <si>
    <t xml:space="preserve">24387</t>
  </si>
  <si>
    <t xml:space="preserve">https://jobs.intuit.com/job/bengaluru/staff-software-engineer-ai-foundation/27595/101300367440</t>
  </si>
  <si>
    <t xml:space="preserve">Build Python backend services and pipelines for AI agent evaluation, observability and quality: eval platform, LLM-as-judge pipelines, tracing, Kubeflow Pipelines on internal Kubernetes</t>
  </si>
  <si>
    <t xml:space="preserve">10+ years distributed backend systems in production (capability); Python with APIs, data modeling, testing, CI/CD (product); LLM and agent systems incl. RAG, embeddings, LLM-as-judge, LangGraph (capability); Kubeflow Pipelines or Argo Workflows (product); Langfuse or OpenTelemetry tracing (product); one major cloud (product)</t>
  </si>
  <si>
    <t xml:space="preserve">10+ years building and operating distributed backend systems in production</t>
  </si>
  <si>
    <t xml:space="preserve">12 years at IBM incl. Python production work (per plan s2, Om to confirm); no LLM systems yet</t>
  </si>
  <si>
    <t xml:space="preserve">LLM; agents; RAG; embeddings; LLM-as-judge; LangGraph; Langfuse; Kubeflow</t>
  </si>
  <si>
    <t xml:space="preserve">one major cloud required</t>
  </si>
  <si>
    <t xml:space="preserve">read on the Intuit career page; fourth Intuit row; ai_infra app because it is evaluation and observability for agents, not model serving; hands-on LLM and agent systems are required, a gap for Om; posted field: unknown (first indexed 2026-09-29 per page metadata)</t>
  </si>
  <si>
    <t xml:space="preserve">CL-063</t>
  </si>
  <si>
    <t xml:space="preserve">Sr Engineer - Compute Virtualization</t>
  </si>
  <si>
    <t xml:space="preserve">R0000452932</t>
  </si>
  <si>
    <t xml:space="preserve">https://corporate.target.com/jobs/w29/32/sr-engineer-compute-virtualization</t>
  </si>
  <si>
    <t xml:space="preserve">Design and build compute infrastructure and platform services in Go: KVM and libvirt virtualization platform, REST and gRPC automation APIs, observability, failure recovery</t>
  </si>
  <si>
    <t xml:space="preserve">5+ years software and cloud infrastructure (capability); Go with data structures and algorithms (product); Linux, KVM, libvirt virtualization (product); Kubernetes and containerd or Docker (product); microservices and REST or gRPC APIs (capability); compute, networking, storage, HA fundamentals (capability); Ansible or similar (product); Prometheus, OpenTelemetry, Grafana, InfluxDB, Telegraf (product); unit, integration and infrastructure tests (capability); production operations (capability)</t>
  </si>
  <si>
    <t xml:space="preserve">proven experience deploying, operating, monitoring and troubleshooting production services</t>
  </si>
  <si>
    <t xml:space="preserve">IBM Cloud production operations (per plan s2, Om to confirm)</t>
  </si>
  <si>
    <t xml:space="preserve">read on the Target career page; no posted date; third Target row; Go-led platform software with production support duties</t>
  </si>
  <si>
    <t xml:space="preserve">CL-064</t>
  </si>
  <si>
    <t xml:space="preserve">Member of Technical Staff - Portworx Enterprise (SaaS services)</t>
  </si>
  <si>
    <t xml:space="preserve">8124408</t>
  </si>
  <si>
    <t xml:space="preserve">https://job-boards.greenhouse.io/purestorage/jobs/8124408</t>
  </si>
  <si>
    <t xml:space="preserve">Design and build high-availability SaaS microservices for the Portworx suite (licensing, billing, telemetry); lead design, review, testing and CI/CD</t>
  </si>
  <si>
    <t xml:space="preserve">Senior (per the required-section heading)</t>
  </si>
  <si>
    <t xml:space="preserve">one of Go, Java or C++</t>
  </si>
  <si>
    <t xml:space="preserve">8+ years building and deploying production product components (capability); Go, Java or C++ (product); microservices, cloud deployments, distributed systems design (capability); CS fundamentals (capability)</t>
  </si>
  <si>
    <t xml:space="preserve">Kubernetes and containers, control-plane development a plus (product); SSO, LDAP, RBAC, OAuth (capability); marketplace integration or SaaS billing and usage reporting (capability); telemetry systems or public SDKs (capability)</t>
  </si>
  <si>
    <t xml:space="preserve">8+ years building and deploying production-grade product components</t>
  </si>
  <si>
    <t xml:space="preserve">12 years at IBM (per plan s2, Om to confirm)</t>
  </si>
  <si>
    <t xml:space="preserve">onsite (LI-ONSITE tag)</t>
  </si>
  <si>
    <t xml:space="preserve">read on the Greenhouse board (page marked New); third Pure Storage row; lane b like CL-003 (Kubernetes storage product, Go allowed)</t>
  </si>
  <si>
    <t xml:space="preserve">CL-065</t>
  </si>
  <si>
    <t xml:space="preserve">Senior Software Engineer - Multi Cloud Efficiency</t>
  </si>
  <si>
    <t xml:space="preserve">8602402002</t>
  </si>
  <si>
    <t xml:space="preserve">https://www.databricks.com/company/careers/engineering---pipeline/senior-software-engineer---multi-cloud-efficiency-8602402002</t>
  </si>
  <si>
    <t xml:space="preserve">Build high-volume data systems for cloud cost attribution and tooling that finds and removes inefficiency across AWS, Azure and GCP, incl. automation and agentic remediation</t>
  </si>
  <si>
    <t xml:space="preserve">6+ years with production code and design documents (capability); breaking down multi-month projects (capability); distributed systems best practices (capability); cloud resource optimization or large-scale distributed tools (capability); trade-off judgement (capability)</t>
  </si>
  <si>
    <t xml:space="preserve">6+ years producing production code</t>
  </si>
  <si>
    <t xml:space="preserve">IBM registry cost work (per plan s2, Om to confirm)</t>
  </si>
  <si>
    <t xml:space="preserve">AI and agentic tooling for waste detection</t>
  </si>
  <si>
    <t xml:space="preserve">AWS, Azure and GCP in duties</t>
  </si>
  <si>
    <t xml:space="preserve">read on the Databricks career page; fourth Databricks row; cost and efficiency work matches Om s registry cost story</t>
  </si>
  <si>
    <t xml:space="preserve">CL-066</t>
  </si>
  <si>
    <t xml:space="preserve">Member of Technical Staff, Backend Engineering (Go, Kubernetes) - Portworx Enterprise</t>
  </si>
  <si>
    <t xml:space="preserve">8300135</t>
  </si>
  <si>
    <t xml:space="preserve">https://job-boards.greenhouse.io/purestorage/jobs/8300135</t>
  </si>
  <si>
    <t xml:space="preserve">Design and develop cloud-native Go microservices and features for Portworx Enterprise (Kubernetes storage, incl. KubeVirt VM workloads); debug at large-cluster scale</t>
  </si>
  <si>
    <t xml:space="preserve">unknown (technical lead duties)</t>
  </si>
  <si>
    <t xml:space="preserve">8+ (in Go)</t>
  </si>
  <si>
    <t xml:space="preserve">8+ years building enterprise product components in Go (product); microservices and cloud-native platforms (capability); production-grade microservices with CI (capability); distributed systems design and ownership (capability); expert debugging at scale (capability); technical team lead (capability); CS fundamentals (capability)</t>
  </si>
  <si>
    <t xml:space="preserve">KubeVirt, OpenShift, VMware APIs, virtualization (product); VM and container orchestration integration (capability); Kubernetes and containers (product); Kubernetes control-plane development (capability)</t>
  </si>
  <si>
    <t xml:space="preserve">8+ years building enterprise product components in Go</t>
  </si>
  <si>
    <t xml:space="preserve">none for 8 years of Go (per plan s2, Om to confirm)</t>
  </si>
  <si>
    <t xml:space="preserve">in office (Bangalore)</t>
  </si>
  <si>
    <t xml:space="preserve">AI tooling for debugging</t>
  </si>
  <si>
    <t xml:space="preserve">read on the Greenhouse board (page marked New); fourth Pure Storage row; the 8-years-in-Go screen is a gap for Om</t>
  </si>
  <si>
    <t xml:space="preserve">CL-067</t>
  </si>
  <si>
    <t xml:space="preserve">Lead Developer, Portworx Backup</t>
  </si>
  <si>
    <t xml:space="preserve">8023892</t>
  </si>
  <si>
    <t xml:space="preserve">https://job-boards.greenhouse.io/purestorage/jobs/8023892</t>
  </si>
  <si>
    <t xml:space="preserve">Lead design and build of a Kubernetes-native backup and restore product using operators, CRDs, controllers and CSI; APIs for the web UI; technical anchor for the team</t>
  </si>
  <si>
    <t xml:space="preserve">Python (secondary)</t>
  </si>
  <si>
    <t xml:space="preserve">10+ years development in cloud architecture on AWS, Azure or GCP (capability); Go expertise (product); scalable systems for Kubernetes (capability); containers and microservices (capability); SaaS product design (capability); SaaS, PaaS, IaaS delivery models (capability); MongoDB and MySQL (product)</t>
  </si>
  <si>
    <t xml:space="preserve">10+ years development in cloud architecture</t>
  </si>
  <si>
    <t xml:space="preserve">IBM Cloud development (per plan s2, Om to confirm); controllers not yet (OP7 later)</t>
  </si>
  <si>
    <t xml:space="preserve">AWS, Azure or GCP experience required</t>
  </si>
  <si>
    <t xml:space="preserve">read on the Greenhouse board; controllers, operators and CRDs are named in the duties, not in the requirement list, recorded required because the work is built on them; lower requisition number, so possibly older than 3 months, re-check in W6</t>
  </si>
  <si>
    <t xml:space="preserve">CL-068</t>
  </si>
  <si>
    <t xml:space="preserve">India (remote)</t>
  </si>
  <si>
    <t xml:space="preserve">Senior Software Engineer - Infra Agent Systems (Remote India)</t>
  </si>
  <si>
    <t xml:space="preserve">5217063007</t>
  </si>
  <si>
    <t xml:space="preserve">https://job-boards.greenhouse.io/togetherai/jobs/5217063007</t>
  </si>
  <si>
    <t xml:space="preserve">Build production AI agents and their distributed backend services (orchestration, knowledge graph, retrieval, fleet telemetry) that diagnose and remediate GPU fleet infrastructure issues; own and operate them</t>
  </si>
  <si>
    <t xml:space="preserve">none fixed (comfortable across Go, TypeScript, Python or Rust)</t>
  </si>
  <si>
    <t xml:space="preserve">Go, TypeScript, Python, Rust</t>
  </si>
  <si>
    <t xml:space="preserve">5+ years production backend, distributed or infrastructure platforms (capability); systems design and ownership to production (capability); depth in one of AI agent systems, knowledge graphs, or search and retrieval incl. RAG (capability); API design, service boundaries, data modeling, integrations (capability); Kubernetes, ArgoCD GitOps, infrastructure as code, cloud platforms (product)</t>
  </si>
  <si>
    <t xml:space="preserve">GPU infrastructure, datacenters, bare metal, BMC/IPMI, cluster schedulers (capability); graph databases (product); NATS or Kafka (product); Prometheus and Grafana (product); LLM evaluation frameworks (capability)</t>
  </si>
  <si>
    <t xml:space="preserve">owned significant systems from design through production</t>
  </si>
  <si>
    <t xml:space="preserve">IBM Cloud production services (per plan s2, Om to confirm)</t>
  </si>
  <si>
    <t xml:space="preserve">remote (India)</t>
  </si>
  <si>
    <t xml:space="preserve">AI agents; orchestration; tool use; RAG; LLM-powered systems; evaluation; GPU fleet</t>
  </si>
  <si>
    <t xml:space="preserve">cloud platforms (none named)</t>
  </si>
  <si>
    <t xml:space="preserve">company not on Claude s list (wider internet); AI depth is one of three alternative areas (agents, knowledge graphs, search), so ai_req recorded preferred; ai_infra app because it builds agents that operate GPU fleets, not model serving; includes production operation</t>
  </si>
  <si>
    <t xml:space="preserve">CL-069</t>
  </si>
  <si>
    <t xml:space="preserve">Backend Engineer - Kubernetes Infrastructure (India)</t>
  </si>
  <si>
    <t xml:space="preserve">02defd5a-e1d8-46b4-8e3b-7bac65b0f59a</t>
  </si>
  <si>
    <t xml:space="preserve">https://jobs.lever.co/Onehouse/02defd5a-e1d8-46b4-8e3b-7bac65b0f59a</t>
  </si>
  <si>
    <t xml:space="preserve">Build Kubernetes operators and controllers in Go with controller-runtime: CRDs and reconciliation for platform lifecycle (provisioning, upgrades, scaling) of a data lakehouse platform incl. Spark and AI workloads</t>
  </si>
  <si>
    <t xml:space="preserve">Go (preferred) or Java</t>
  </si>
  <si>
    <t xml:space="preserve">5+ years backend or infrastructure software (capability); Go or Java (product); Kubernetes operators with controller-runtime (product); controllers, CRDs, reconciliation loops, operator pattern (capability); Kubernetes APIs and architecture (capability); distributed or cloud-native backend services (capability); debugging production on Kubernetes (capability); AWS, GCP or Azure (product); testing, code review, system design (capability)</t>
  </si>
  <si>
    <t xml:space="preserve">production Kubernetes operators (capability); Kubernetes ecosystem contributions (capability); large-scale cloud platform design (capability); control planes for distributed systems (capability); open source (capability)</t>
  </si>
  <si>
    <t xml:space="preserve">none beyond 5+ years</t>
  </si>
  <si>
    <t xml:space="preserve">none for controllers yet (OP7 later)</t>
  </si>
  <si>
    <t xml:space="preserve">AI workloads on Kubernetes</t>
  </si>
  <si>
    <t xml:space="preserve">one of AWS, GCP or Azure</t>
  </si>
  <si>
    <t xml:space="preserve">company not on Claude s list (wider internet); the page says the role is not primarily DevOps, SRE or cluster administration; the closest posting to Om s planned OP4-OP7 controller skills; level not stated</t>
  </si>
  <si>
    <t xml:space="preserve">CL-071</t>
  </si>
  <si>
    <t xml:space="preserve">Senior Platform Engineer (AI Focused)</t>
  </si>
  <si>
    <t xml:space="preserve">7895708</t>
  </si>
  <si>
    <t xml:space="preserve">https://job-boards.greenhouse.io/earnin/jobs/7895708</t>
  </si>
  <si>
    <t xml:space="preserve">Build MCP servers and agentic workflows over the platform (incident triage, deployment validation, remediation), an LLM gateway and router for cost and observability, plus GitOps delivery on EKS, IaC, SLOs and FinOps automation</t>
  </si>
  <si>
    <t xml:space="preserve">4+ years platform, infrastructure or backend on production cloud, AWS preferred (capability); Python and/or Go production services (product); Kubernetes (EKS), Argo CD, GitHub Actions, Terraform, Helm, Kustomize, service mesh (product); Datadog observability and SLO practice (product); MCP servers incl. tool design and auth (product); agentic AI workflows in production incl. RAG and tool use (capability); FinOps cost attribution (capability); LLM gateway and router patterns (capability); AI-assisted development tools (product)</t>
  </si>
  <si>
    <t xml:space="preserve">operating production cloud systems; agentic AI workflows in production</t>
  </si>
  <si>
    <t xml:space="preserve">IBM Cloud production operations (per plan s2, Om to confirm); no agentic AI in production yet</t>
  </si>
  <si>
    <t xml:space="preserve">hybrid (2 days on-site)</t>
  </si>
  <si>
    <t xml:space="preserve">MCP servers; agentic workflows; RAG; LLM gateway; model routing; evaluation harnesses</t>
  </si>
  <si>
    <t xml:space="preserve">company not on Claude s list (wider internet); ai_infra app because the LLM router fronts external model providers, no self-hosted serving or GPU named; half the role is platform operations, so build_share half; 4+ years may sit below Om s band</t>
  </si>
  <si>
    <t xml:space="preserve">CL-072</t>
  </si>
  <si>
    <t xml:space="preserve">Lead Software Development Engineer</t>
  </si>
  <si>
    <t xml:space="preserve">4740333005</t>
  </si>
  <si>
    <t xml:space="preserve">https://job-boards.greenhouse.io/razorpaysoftwareprivatelimited/jobs/4740333005</t>
  </si>
  <si>
    <t xml:space="preserve">Drive product and design for payment infrastructure: scale payment systems and shape developer-facing REST APIs; build features from scratch to completion</t>
  </si>
  <si>
    <t xml:space="preserve">one of PHP, Python, Go, Java or C++</t>
  </si>
  <si>
    <t xml:space="preserve">5+ years in technology (capability); product design sense (capability); PHP, Python, Go, Java or C++ (product); REST APIs and the web (capability); building features end to end (capability)</t>
  </si>
  <si>
    <t xml:space="preserve">side projects on GitHub (capability); open-source contribution (capability); product-company experience (capability)</t>
  </si>
  <si>
    <t xml:space="preserve">office (Bangalore)</t>
  </si>
  <si>
    <t xml:space="preserve">read on Razorpay s Greenhouse board (page marked New); product backend for payments, thin requirements; first readable Razorpay posting</t>
  </si>
  <si>
    <t xml:space="preserve">CL-073</t>
  </si>
  <si>
    <t xml:space="preserve">Senior Software Engineer (intelligence analytics, lead)</t>
  </si>
  <si>
    <t xml:space="preserve">RP1039208</t>
  </si>
  <si>
    <t xml:space="preserve">https://ffive.wd5.myworkdayjobs.com/f5jobs/job/Hyderabad-SEZ/Senior-Software-Engineer_RP1039208</t>
  </si>
  <si>
    <t xml:space="preserve">Architect, build and lead cloud-native intelligence analytics systems (back end, data warehouse, some front end); set coding practices, testing strategy and CI/CD quality gates</t>
  </si>
  <si>
    <t xml:space="preserve">Senior (lead duties)</t>
  </si>
  <si>
    <t xml:space="preserve">8+ with a degree, or 10+</t>
  </si>
  <si>
    <t xml:space="preserve">one of Go, Python, Java or similar</t>
  </si>
  <si>
    <t xml:space="preserve">React familiarity; PromQL preferred</t>
  </si>
  <si>
    <t xml:space="preserve">8+ years software engineering (capability); 2+ years technical leadership (capability); cloud-native analytics solutions (capability); Go, Python or Java (product); SQL and NoSQL design and tuning (capability); data warehouse analytics (capability); React familiarity (product); ML and AI techniques familiarity (capability); observability (capability); Docker, Kubernetes, microservices on AWS or GCP (product)</t>
  </si>
  <si>
    <t xml:space="preserve">PromQL, Tableau, Grafana (product); ML models and AI techniques for decisions (capability)</t>
  </si>
  <si>
    <t xml:space="preserve">2+ years in technical leadership or engineering management</t>
  </si>
  <si>
    <t xml:space="preserve">IBM team leadership (per plan s2, Om to confirm)</t>
  </si>
  <si>
    <t xml:space="preserve">machine learning models and AI techniques (familiarity)</t>
  </si>
  <si>
    <t xml:space="preserve">read on the Dreamwork mirror (posted yesterday, so 2026-10-26); ai_req required means familiarity with ML and AI techniques, not AI infrastructure; Om s management years may count toward the leadership screen</t>
  </si>
  <si>
    <t xml:space="preserve">CL-074</t>
  </si>
  <si>
    <t xml:space="preserve">Senior Platform Software Engineer</t>
  </si>
  <si>
    <t xml:space="preserve">342725 (from the Apply link to Oracle HCM); LinkedIn job 4481449302</t>
  </si>
  <si>
    <t xml:space="preserve">https://www.linkedin.com/jobs/view/4481449302/</t>
  </si>
  <si>
    <t xml:space="preserve">Om LinkedIn</t>
  </si>
  <si>
    <t xml:space="preserve">2026-10-28</t>
  </si>
  <si>
    <t xml:space="preserve">Design and build components of OCI s internal artifact management platform (manage, migrate, replicate and serve build artifacts at high volume and strict availability); build migration tooling from legacy systems; integrate with OCI CI/CD and deployment systems</t>
  </si>
  <si>
    <t xml:space="preserve">Senior (Career Level IC3, individual contributor)</t>
  </si>
  <si>
    <t xml:space="preserve">building scalable distributed systems (capability); cloud infrastructure (capability); CI/CD systems, artifact repositories, build systems or developer productivity platforms (capability); data migration and data consistency (capability); production rollout strategies (capability); ownership, technical judgment, collaboration and mentoring (capability)</t>
  </si>
  <si>
    <t xml:space="preserve">Oracle Cloud Infrastructure experience (product)</t>
  </si>
  <si>
    <t xml:space="preserve">proven experience building scalable distributed systems; experience with production rollout strategies (no years stated)</t>
  </si>
  <si>
    <t xml:space="preserve">IBM registry cost reduction story; IKS upgrade programme (per plan s2, Om to confirm)</t>
  </si>
  <si>
    <t xml:space="preserve">on-site (Bengaluru), full-time, per LinkedIn</t>
  </si>
  <si>
    <t xml:space="preserve">cloud infrastructure required, no provider named; OCI preferred</t>
  </si>
  <si>
    <t xml:space="preserve">Om LinkedIn capture 2 (claude/harvest/linkedin/2026-10-28-raw.md); Oracle s own page for job 342725 loaded no body on 2026-10-28, so the LinkedIn text is the evidence; posted computed from 1 day ago on the 2026-10-28 capture; lane a: backend infrastructure with no language named (as CL-034); the page names no language, tool or product except OCI, so its signal is capabilities only (distributed systems, migration with consistency, rollout, CI/CD integration, disaster recovery); a registry is one kind of artifact repository, so the IBM registry story may map, Om to confirm; same title as an unread Oracle Dreamwork row in Excluded (de04036e), which may be this job or another Oracle team (another post with this title is for Managed Kubernetes); re-check both in W6</t>
  </si>
  <si>
    <t xml:space="preserve">reason</t>
  </si>
  <si>
    <t xml:space="preserve">reason_group</t>
  </si>
  <si>
    <t xml:space="preserve">chatgpt_list</t>
  </si>
  <si>
    <t xml:space="preserve">EX-001</t>
  </si>
  <si>
    <t xml:space="preserve">Senior Software Engineer, Cloud Platform - INDIA</t>
  </si>
  <si>
    <t xml:space="preserve">https://job-boards.greenhouse.io/startree/jobs/6177349004</t>
  </si>
  <si>
    <t xml:space="preserve">withdrawn: company is on ChatGPT's list (G008 StarTree); Claude had classified it as lane b, ai_infra none; handed over, not counted by Claude</t>
  </si>
  <si>
    <t xml:space="preserve">G008</t>
  </si>
  <si>
    <t xml:space="preserve">EX-002</t>
  </si>
  <si>
    <t xml:space="preserve">Senior Software Engineer, Data Platform (India, Remote)</t>
  </si>
  <si>
    <t xml:space="preserve">https://job-boards.greenhouse.io/startree/jobs/6142775004</t>
  </si>
  <si>
    <t xml:space="preserve">withdrawn: company is on ChatGPT's list (G008 StarTree); Claude had classified it as lane d, ai_infra none; handed over, not counted by Claude</t>
  </si>
  <si>
    <t xml:space="preserve">EX-003</t>
  </si>
  <si>
    <t xml:space="preserve">Senior Backend Engineer, India</t>
  </si>
  <si>
    <t xml:space="preserve">https://job-boards.greenhouse.io/gitlab/jobs/8716143002</t>
  </si>
  <si>
    <t xml:space="preserve">withdrawn: company is on ChatGPT's list (G025 GitLab); Claude had classified it as lane a, ai_infra app; handed over, not counted by Claude</t>
  </si>
  <si>
    <t xml:space="preserve">G025</t>
  </si>
  <si>
    <t xml:space="preserve">EX-004</t>
  </si>
  <si>
    <t xml:space="preserve">Senior Member Of Technical Staff IC5 (Distributed Systems, Python &amp; Golang) 10-14 Yrs</t>
  </si>
  <si>
    <t xml:space="preserve">https://careers.blumbergcapital.com/companies/nutanix/jobs/86252806-senior-member-of-technical-staff-ic5-distributed-systems-python-golang-10-14-yrs</t>
  </si>
  <si>
    <t xml:space="preserve">closed (posted 2026-07-14; no longer accepting applications)</t>
  </si>
  <si>
    <t xml:space="preserve">EX-005</t>
  </si>
  <si>
    <t xml:space="preserve">Senior Staff Engineer - Nutanix Kubernetes Platform (NKP)</t>
  </si>
  <si>
    <t xml:space="preserve">https://jobs.jobvite.com/nutanix/job/ojpGAfwI</t>
  </si>
  <si>
    <t xml:space="preserve">years 15-20+ and leads 15-20 engineers; above Om's 12 years</t>
  </si>
  <si>
    <t xml:space="preserve">EX-006</t>
  </si>
  <si>
    <t xml:space="preserve">Senior Software Engineer - Cloud Infrastructure, Kubernetes, Golang/Python</t>
  </si>
  <si>
    <t xml:space="preserve">https://jobs.anitab.org/companies/red-hat/jobs/81316096-senior-software-engineer-cloud-infrastructure-kubernetes-golang-python</t>
  </si>
  <si>
    <t xml:space="preserve">older than 3 months (posted 2026-06-02); IBM group</t>
  </si>
  <si>
    <t xml:space="preserve">EX-007</t>
  </si>
  <si>
    <t xml:space="preserve">Member of Technical Staff 4 - NKP</t>
  </si>
  <si>
    <t xml:space="preserve">https://jobs.khoslaventures.com/companies/nutanix/jobs/62638628-member-of-technical-staff-4-nkp</t>
  </si>
  <si>
    <t xml:space="preserve">older than 3 months (posted 2025-11-25)</t>
  </si>
  <si>
    <t xml:space="preserve">EX-008</t>
  </si>
  <si>
    <t xml:space="preserve">Software Engineering Technical Leader | Golang, AWS, K8s, Microservices | 12-15 Years</t>
  </si>
  <si>
    <t xml:space="preserve">https://builtinbengaluru.in/job/software-engineering-technical-leader-golang-aws-k8-s-microservices-12-15-years-bangalore/10572927</t>
  </si>
  <si>
    <t xml:space="preserve">closed (removed 2026-08-20)</t>
  </si>
  <si>
    <t xml:space="preserve">EX-009</t>
  </si>
  <si>
    <t xml:space="preserve">Software Engineer - Kubernetes Platform + Go, Python | 8+ years</t>
  </si>
  <si>
    <t xml:space="preserve">https://jobs.cisco.com/jobs/ProjectDetail/Software-Engineer-Kubernetes-Platform-Go-Python-8-years-exp/1424177</t>
  </si>
  <si>
    <t xml:space="preserve">closed (job link redirects to the careers home page)</t>
  </si>
  <si>
    <t xml:space="preserve">EX-010</t>
  </si>
  <si>
    <t xml:space="preserve">Software Senior Engineer (Python, Golang)</t>
  </si>
  <si>
    <t xml:space="preserve">https://jobs.dell.com/es/trabajo/bengaluru/software-senior-engineer-python-golang/375/82688422320</t>
  </si>
  <si>
    <t xml:space="preserve">closed (job link redirects to a 404 page)</t>
  </si>
  <si>
    <t xml:space="preserve">EX-011</t>
  </si>
  <si>
    <t xml:space="preserve">Senior Member of Technical Staff - Oracle Cloud Infrastructure</t>
  </si>
  <si>
    <t xml:space="preserve">https://careers.oracle.com/en/sites/jobsearch/job/303962</t>
  </si>
  <si>
    <t xml:space="preserve">unread (page body does not load for Claude tools)</t>
  </si>
  <si>
    <t xml:space="preserve">EX-012</t>
  </si>
  <si>
    <t xml:space="preserve">Kubernetes Platform Tech Manager</t>
  </si>
  <si>
    <t xml:space="preserve">https://builtinbengaluru.in/job/kubernetes-platform-tech-manager/7781883</t>
  </si>
  <si>
    <t xml:space="preserve">closed (removed 2026-01-28); also people manager with sales-facing duties</t>
  </si>
  <si>
    <t xml:space="preserve">EX-013</t>
  </si>
  <si>
    <t xml:space="preserve">Developer - Kubernetes Platform</t>
  </si>
  <si>
    <t xml:space="preserve">https://jobs.accel.com/companies/hpe-simplivity-2-3e24c8e1-09a8-43f1-8671-b32d18dc0fb9/jobs/85816142-developer-kubernetes-platform</t>
  </si>
  <si>
    <t xml:space="preserve">closed (posted 2026-07-09); 2-4 years, junior for Om</t>
  </si>
  <si>
    <t xml:space="preserve">EX-014</t>
  </si>
  <si>
    <t xml:space="preserve">Software Development Engineer III (Volterra)</t>
  </si>
  <si>
    <t xml:space="preserve">https://jobs.khoslaventures.com/companies/volterra/jobs/92559837-software-development-engineer-iii</t>
  </si>
  <si>
    <t xml:space="preserve">C++ required with Go</t>
  </si>
  <si>
    <t xml:space="preserve">EX-015</t>
  </si>
  <si>
    <t xml:space="preserve">Sr Software Development Engineer (Volterra, Hyderabad)</t>
  </si>
  <si>
    <t xml:space="preserve">https://jobs.khoslaventures.com/companies/volterra/jobs/81388456-sr-software-development-engineer</t>
  </si>
  <si>
    <t xml:space="preserve">older than 3 months (posted 2026-06-03); telecom data path in C/C++/Go</t>
  </si>
  <si>
    <t xml:space="preserve">EX-016</t>
  </si>
  <si>
    <t xml:space="preserve">Sr Staff Software Engineer (Wildfire) - NetSec - Bangalore</t>
  </si>
  <si>
    <t xml:space="preserve">https://jobs.accel.com/companies/cortex-by-palo-alto-networks-2-99ba59f7-d27f-48a7-b8e7-38df217bd6dc/jobs/89620081-sr-staff-software-engineer-wildfire-netsec-bangalore</t>
  </si>
  <si>
    <t xml:space="preserve">closed (posted 2026-08-12)</t>
  </si>
  <si>
    <t xml:space="preserve">EX-017</t>
  </si>
  <si>
    <t xml:space="preserve">Software Engineer CVP - Backend</t>
  </si>
  <si>
    <t xml:space="preserve">https://jobs.smartrecruiters.com/AristaNetworks/744000102031498</t>
  </si>
  <si>
    <t xml:space="preserve">closed (job expired)</t>
  </si>
  <si>
    <t xml:space="preserve">EX-018</t>
  </si>
  <si>
    <t xml:space="preserve">Senior Software Engineer (Data Protect)</t>
  </si>
  <si>
    <t xml:space="preserve">https://jobs.accel.com/companies/cohesity/jobs/78330062-senior-software-engineer</t>
  </si>
  <si>
    <t xml:space="preserve">closed (posted 2026-05-12)</t>
  </si>
  <si>
    <t xml:space="preserve">EX-019</t>
  </si>
  <si>
    <t xml:space="preserve">Staff / Sr. Staff, Backend Engineer - Configuration &amp; Telemetry</t>
  </si>
  <si>
    <t xml:space="preserve">https://jobs.accel.com/companies/netskope/jobs/86158401-staff-sr-staff-backend-engineer-configuration-telemetry</t>
  </si>
  <si>
    <t xml:space="preserve">older than 3 months (posted 2026-07-13)</t>
  </si>
  <si>
    <t xml:space="preserve">EX-020</t>
  </si>
  <si>
    <t xml:space="preserve">Backend Engineer II - Cloud (Pune)</t>
  </si>
  <si>
    <t xml:space="preserve">https://jobs.accel.com/companies/crowdstrike/jobs/88509188-backend-engineer-iii-cloud</t>
  </si>
  <si>
    <t xml:space="preserve">closed (posted 2026-08-03)</t>
  </si>
  <si>
    <t xml:space="preserve">EX-021</t>
  </si>
  <si>
    <t xml:space="preserve">Senior Software Engineer - Cloud Native Protection</t>
  </si>
  <si>
    <t xml:space="preserve">https://builtinbengaluru.in/job/senior-software-engineer/7568944</t>
  </si>
  <si>
    <t xml:space="preserve">closed (removed 2025-12-08)</t>
  </si>
  <si>
    <t xml:space="preserve">EX-022</t>
  </si>
  <si>
    <t xml:space="preserve">Senior Software Engineer - GoLang, Kubernetes &amp; Database Platform (R0000072)</t>
  </si>
  <si>
    <t xml:space="preserve">https://jobs.accel.com/companies/new-relic/jobs/63578601-senior-software-engineer-golang-kubernetes-database-platform-r0000072-bangalore</t>
  </si>
  <si>
    <t xml:space="preserve">closed (6+ months old)</t>
  </si>
  <si>
    <t xml:space="preserve">G017</t>
  </si>
  <si>
    <t xml:space="preserve">EX-023</t>
  </si>
  <si>
    <t xml:space="preserve">Senior Staff Software Engineer (Pune)</t>
  </si>
  <si>
    <t xml:space="preserve">https://builtin.com/job/senior-staff-software-engineer/9700062</t>
  </si>
  <si>
    <t xml:space="preserve">closed (removed 2026-08-03)</t>
  </si>
  <si>
    <t xml:space="preserve">EX-024</t>
  </si>
  <si>
    <t xml:space="preserve">Senior Software Engineer (Instahyre listing)</t>
  </si>
  <si>
    <t xml:space="preserve">https://www.instahyre.com/job-39011-senior-software-engineer-at-akamai-bangalore/</t>
  </si>
  <si>
    <t xml:space="preserve">unread (Instahyre page does not load for Claude tools)</t>
  </si>
  <si>
    <t xml:space="preserve">EX-025</t>
  </si>
  <si>
    <t xml:space="preserve">Senior System Software Engineer - Infrastructure</t>
  </si>
  <si>
    <t xml:space="preserve">https://getmereferred.com/job-listing/senior-system-software-engineer-infrastructure-nvidia-bengaluru-5-to-10-years-experience-63ac2333-bc02-45d0-b145-9db9666541ac</t>
  </si>
  <si>
    <t xml:space="preserve">older than 3 months (posted 2025-08-29)</t>
  </si>
  <si>
    <t xml:space="preserve">EX-026</t>
  </si>
  <si>
    <t xml:space="preserve">Senior Systems Software Engineer, Containers, Kubernetes, and Confidential Computing</t>
  </si>
  <si>
    <t xml:space="preserve">https://jobs.nvidia.com/careers/job/893398004321?domain=nvidia.com&amp;l1=en</t>
  </si>
  <si>
    <t xml:space="preserve">unread (page body does not load)</t>
  </si>
  <si>
    <t xml:space="preserve">EX-027</t>
  </si>
  <si>
    <t xml:space="preserve">Senior II Software Engineer</t>
  </si>
  <si>
    <t xml:space="preserve">https://builtin.com/job/senior-ii-software-engineer/9647335</t>
  </si>
  <si>
    <t xml:space="preserve">closed (removed 2026-06-10); Salesforce development role</t>
  </si>
  <si>
    <t xml:space="preserve">EX-028</t>
  </si>
  <si>
    <t xml:space="preserve">Senior Distributed Software Engineer, Golang - DGX Cloud</t>
  </si>
  <si>
    <t xml:space="preserve">https://zapply.jobs/jobs/0bb4c9f5-8bbf-4e17-847a-3766d6ae68af/</t>
  </si>
  <si>
    <t xml:space="preserve">not India (Santa Clara, US)</t>
  </si>
  <si>
    <t xml:space="preserve">EX-029</t>
  </si>
  <si>
    <t xml:space="preserve">Senior Software Engineer, Distributed Systems Engineer - DGX Cloud</t>
  </si>
  <si>
    <t xml:space="preserve">https://freehire.me/jobs/senior-software-engineer-distributed-systems-engineer-dgx-cloud-nvidia-7hzfkqwb</t>
  </si>
  <si>
    <t xml:space="preserve">EX-030</t>
  </si>
  <si>
    <t xml:space="preserve">Cloud Software Development Engineer</t>
  </si>
  <si>
    <t xml:space="preserve">https://www.dreamworkhq.com/job/ca575547-16ae-409a-8e44-07e9e0a3c1a1</t>
  </si>
  <si>
    <t xml:space="preserve">unread (page did not load)</t>
  </si>
  <si>
    <t xml:space="preserve">EX-031</t>
  </si>
  <si>
    <t xml:space="preserve">Senior Software Engineer (Weekday listing)</t>
  </si>
  <si>
    <t xml:space="preserve">https://jobs.weekday.works/krutrim-senior-software-engineer</t>
  </si>
  <si>
    <t xml:space="preserve">EX-032</t>
  </si>
  <si>
    <t xml:space="preserve">Software Senior Engineer-Python, Go, Kubernetes</t>
  </si>
  <si>
    <t xml:space="preserve">https://builtin.com/job/software-senior-engineer-python-go-kubernetes/7879090</t>
  </si>
  <si>
    <t xml:space="preserve">closed (removed 2026-01-21)</t>
  </si>
  <si>
    <t xml:space="preserve">EX-033</t>
  </si>
  <si>
    <t xml:space="preserve">Sr Software Engineer (Senior Platform Engineer, Capella Platform)</t>
  </si>
  <si>
    <t xml:space="preserve">https://job-boards.greenhouse.io/couchbaseinc/jobs/4609611006</t>
  </si>
  <si>
    <t xml:space="preserve">SRE and cloud operations duties dominate (5+ years platform/SRE, on-call, compliance, Terraform)</t>
  </si>
  <si>
    <t xml:space="preserve">EX-034</t>
  </si>
  <si>
    <t xml:space="preserve">Staff Engineer (Cloud Platforms)</t>
  </si>
  <si>
    <t xml:space="preserve">https://jobs.sapphireventures.com/companies/thoughtspot/jobs/87981579-staff-engineer-cloud-platforms</t>
  </si>
  <si>
    <t xml:space="preserve">closed (posted 2026-07-29)</t>
  </si>
  <si>
    <t xml:space="preserve">EX-035</t>
  </si>
  <si>
    <t xml:space="preserve">Staff Software Engineer (General Catalyst board)</t>
  </si>
  <si>
    <t xml:space="preserve">https://jobs.generalcatalyst.com/companies/thoughtspot/jobs/92683062-staff-software-engineer</t>
  </si>
  <si>
    <t xml:space="preserve">unread (server error)</t>
  </si>
  <si>
    <t xml:space="preserve">EX-036</t>
  </si>
  <si>
    <t xml:space="preserve">Senior Software Engineer - Cortex AI Infrastructure</t>
  </si>
  <si>
    <t xml:space="preserve">https://zapply.jobs/jobs/6de5e5a1-7965-468a-94a1-62c4265ddce1/</t>
  </si>
  <si>
    <t xml:space="preserve">not India (Menlo Park, US)</t>
  </si>
  <si>
    <t xml:space="preserve">EX-037</t>
  </si>
  <si>
    <t xml:space="preserve">Senior Platform Engineer (Gurugram)</t>
  </si>
  <si>
    <t xml:space="preserve">https://builtin.com/job/senior-platform-engineer/9477181</t>
  </si>
  <si>
    <t xml:space="preserve">closed (removed 2026-09-16)</t>
  </si>
  <si>
    <t xml:space="preserve">EX-038</t>
  </si>
  <si>
    <t xml:space="preserve">Senior Software Engineer - Infrastructure</t>
  </si>
  <si>
    <t xml:space="preserve">https://www.databricks.com/company/careers/engineering---pipeline/senior-software-engineer---infrastructure-7647289002</t>
  </si>
  <si>
    <t xml:space="preserve">EX-039</t>
  </si>
  <si>
    <t xml:space="preserve">Sr Staff Software Engineer - Go, Kubernetes platform Engineering (Hyderabad)</t>
  </si>
  <si>
    <t xml:space="preserve">https://careers.servicenow.com/jobs/744000156762623/sr-staff-software-engineer-go-kubernetes-platform-engineering/</t>
  </si>
  <si>
    <t xml:space="preserve">years 14+, above Om s 12 (controllers, Terraform and public cloud all required)</t>
  </si>
  <si>
    <t xml:space="preserve">EX-040</t>
  </si>
  <si>
    <t xml:space="preserve">Staff Software Engineer - Infrastructure, Kubernetes (Hyderabad)</t>
  </si>
  <si>
    <t xml:space="preserve">https://careers.servicenow.com/jobs/744000155189989/staff-software-engineer-infrastructure-kubernetes/</t>
  </si>
  <si>
    <t xml:space="preserve">front-end JS/TS with React or Angular required; data-pipeline heavy</t>
  </si>
  <si>
    <t xml:space="preserve">EX-041</t>
  </si>
  <si>
    <t xml:space="preserve">Senior Developer - Go, Kubernetes, Core Infrastructure Team - Gardener (BTP)</t>
  </si>
  <si>
    <t xml:space="preserve">https://www.jobzmall.com/sap/job/senior-developer-go-lang-kubernetes-core-infrastructure-team-gardener-btp</t>
  </si>
  <si>
    <t xml:space="preserve">older than 3 months (posted 2025-04-11)</t>
  </si>
  <si>
    <t xml:space="preserve">EX-042</t>
  </si>
  <si>
    <t xml:space="preserve">Principal Software Engineer - Search and Data</t>
  </si>
  <si>
    <t xml:space="preserve">https://www.atlassian.com/company/careers/details/25693</t>
  </si>
  <si>
    <t xml:space="preserve">EX-043</t>
  </si>
  <si>
    <t xml:space="preserve">Senior Staff Platform Engineer (Sr. Staff AI Platform Engineer)</t>
  </si>
  <si>
    <t xml:space="preserve">https://job-boards.greenhouse.io/zscaler/jobs/5200228007-10</t>
  </si>
  <si>
    <t xml:space="preserve">SRE and DevOps duties dominate (8+ years as platform, SRE or DevOps; Terraform, alerting, incident response); AI platform terms noted: LLM inference, RAG, Ray, MLflow</t>
  </si>
  <si>
    <t xml:space="preserve">EX-044</t>
  </si>
  <si>
    <t xml:space="preserve">Senior Software Engineer, Backend (Infrastructure)</t>
  </si>
  <si>
    <t xml:space="preserve">https://job-boards.greenhouse.io/affirm/jobs/7708921003</t>
  </si>
  <si>
    <t xml:space="preserve">not India (Remote US)</t>
  </si>
  <si>
    <t xml:space="preserve">EX-045</t>
  </si>
  <si>
    <t xml:space="preserve">Platform Infrastructure Engineer</t>
  </si>
  <si>
    <t xml:space="preserve">https://job-boards.greenhouse.io/atomicwork/jobs/4170707008</t>
  </si>
  <si>
    <t xml:space="preserve">operations duties dominate; 3-4 years, junior for Om</t>
  </si>
  <si>
    <t xml:space="preserve">EX-046</t>
  </si>
  <si>
    <t xml:space="preserve">Software Dev Engineer III (Crew team)</t>
  </si>
  <si>
    <t xml:space="preserve">https://builtin.com/job/software-dev-engineer-iii/11138009</t>
  </si>
  <si>
    <t xml:space="preserve">closed (removed 2026-09-12)</t>
  </si>
  <si>
    <t xml:space="preserve">EX-047</t>
  </si>
  <si>
    <t xml:space="preserve">AI Engineer (Platform)</t>
  </si>
  <si>
    <t xml:space="preserve">https://builtin.com/job/ai-engineer-platform/10995301</t>
  </si>
  <si>
    <t xml:space="preserve">closed (removed 2026-09-03); 2-6 years, mid level</t>
  </si>
  <si>
    <t xml:space="preserve">EX-048</t>
  </si>
  <si>
    <t xml:space="preserve">Senior Infrastructure Engineer (YC page)</t>
  </si>
  <si>
    <t xml:space="preserve">https://www.ycombinator.com/companies/razorpay/jobs/zUemCTA1N-senior-infrastructure-engineer</t>
  </si>
  <si>
    <t xml:space="preserve">requirements not shown; operations mix; page lists US-only visa note that conflicts with Bengaluru</t>
  </si>
  <si>
    <t xml:space="preserve">EX-049</t>
  </si>
  <si>
    <t xml:space="preserve">Lead Software Engineer - Java/Python/Golang/AWS/Kubernetes</t>
  </si>
  <si>
    <t xml:space="preserve">https://builtin.com/job/lead-software-engineer-java-python-golang-aws-kubernetes/11179518</t>
  </si>
  <si>
    <t xml:space="preserve">closed (removed 2026-09-24)</t>
  </si>
  <si>
    <t xml:space="preserve">EX-050</t>
  </si>
  <si>
    <t xml:space="preserve">Lead Software Engineer - Go / Kubernetes / Python - Public Cloud Engineering</t>
  </si>
  <si>
    <t xml:space="preserve">https://freehire.me/jobs/lead-software-engineer-go-kubernetes-python-public-cloud-engineering-jp-morgan-c6pxe5sl</t>
  </si>
  <si>
    <t xml:space="preserve">not India (London)</t>
  </si>
  <si>
    <t xml:space="preserve">EX-051</t>
  </si>
  <si>
    <t xml:space="preserve">Engineering Division - AI Science Engineering - Software Engineering - VP (Hyderabad)</t>
  </si>
  <si>
    <t xml:space="preserve">https://builtin.com/job/engineering-l2-hyderabad-vice-president-software-engineering/9936616</t>
  </si>
  <si>
    <t xml:space="preserve">closed (removed 2026-10-06); applied AI/ML role, Path B profile</t>
  </si>
  <si>
    <t xml:space="preserve">EX-052</t>
  </si>
  <si>
    <t xml:space="preserve">Cloud Platform Software Engineer</t>
  </si>
  <si>
    <t xml:space="preserve">https://builtin.com/job/software-engineer/11198252</t>
  </si>
  <si>
    <t xml:space="preserve">closed (removed 2026-10-06); junior (1-2+ years)</t>
  </si>
  <si>
    <t xml:space="preserve">EX-053</t>
  </si>
  <si>
    <t xml:space="preserve">Staff, Software Engineer (secrets management platform)</t>
  </si>
  <si>
    <t xml:space="preserve">https://jobs.anitab.org/companies/walmart/jobs/73489140-staff-software-engineer</t>
  </si>
  <si>
    <t xml:space="preserve">closed (posted 2026-04-06)</t>
  </si>
  <si>
    <t xml:space="preserve">EX-054</t>
  </si>
  <si>
    <t xml:space="preserve">Software Development Engineer III (Backend)</t>
  </si>
  <si>
    <t xml:space="preserve">https://careers.tesco.com/en_GB/careers/JobDetail/Software-Development-Engineer-III/208109</t>
  </si>
  <si>
    <t xml:space="preserve">Java required (Java/J2EE/Spring Boot)</t>
  </si>
  <si>
    <t xml:space="preserve">EX-055</t>
  </si>
  <si>
    <t xml:space="preserve">Lead Platform Engineer (Pune)</t>
  </si>
  <si>
    <t xml:space="preserve">https://www.dreamworkhq.com/job/2b6ef204-244f-481e-814f-c87bd982fab7</t>
  </si>
  <si>
    <t xml:space="preserve">DevOps and configuration-management duties (Chef, Ruby scripting)</t>
  </si>
  <si>
    <t xml:space="preserve">EX-056</t>
  </si>
  <si>
    <t xml:space="preserve">Kubernetes Engineer (Golang/Java)</t>
  </si>
  <si>
    <t xml:space="preserve">https://jobs.americanexpress.com/global/jobs/21009043?lang=en-us</t>
  </si>
  <si>
    <t xml:space="preserve">unread (site refuses Claude tools: robots disallowed)</t>
  </si>
  <si>
    <t xml:space="preserve">EX-057</t>
  </si>
  <si>
    <t xml:space="preserve">Senior Software Engineer - Infrastructure Team</t>
  </si>
  <si>
    <t xml:space="preserve">https://job-boards.greenhouse.io/arcesiumllc/jobs/4646816007</t>
  </si>
  <si>
    <t xml:space="preserve">closed (job link now shows the general openings index)</t>
  </si>
  <si>
    <t xml:space="preserve">EX-058</t>
  </si>
  <si>
    <t xml:space="preserve">Senior Software Development Engineer (R-107835)</t>
  </si>
  <si>
    <t xml:space="preserve">https://careers.expediagroup.com/job/senior-software-development-engineer/bangalore-bangalore/R-107835/</t>
  </si>
  <si>
    <t xml:space="preserve">EX-059</t>
  </si>
  <si>
    <t xml:space="preserve">Lead Software Engineer (Dreamwork listing)</t>
  </si>
  <si>
    <t xml:space="preserve">https://www.dreamworkhq.com/job/0f25da12-be7f-4999-88fd-a65e0dc12e36</t>
  </si>
  <si>
    <t xml:space="preserve">EX-060</t>
  </si>
  <si>
    <t xml:space="preserve">Senior Engineer, VP (Corporate Bank Technology, Pune)</t>
  </si>
  <si>
    <t xml:space="preserve">https://www.dreamworkhq.com/job/05328de9-b25e-43f6-82df-0311bc77aef3</t>
  </si>
  <si>
    <t xml:space="preserve">Java required (full-stack Java, React, Angular); 15+ years</t>
  </si>
  <si>
    <t xml:space="preserve">EX-061</t>
  </si>
  <si>
    <t xml:space="preserve">Senior Software Engineer (Data Substrate)</t>
  </si>
  <si>
    <t xml:space="preserve">https://job-boards.greenhouse.io/twilio/jobs/8065028</t>
  </si>
  <si>
    <t xml:space="preserve">EX-062</t>
  </si>
  <si>
    <t xml:space="preserve">Staff Engineer, Core Infrastructure (onjob mirror)</t>
  </si>
  <si>
    <t xml:space="preserve">https://onjob.io/jobs/bengaluru/staff-engineer-core-infrastructure/gh-8070949/</t>
  </si>
  <si>
    <t xml:space="preserve">EX-063</t>
  </si>
  <si>
    <t xml:space="preserve">Software Engineer, Security Platform, Remote - India</t>
  </si>
  <si>
    <t xml:space="preserve">https://www.coinbase.com/en-in/careers/positions/8165441</t>
  </si>
  <si>
    <t xml:space="preserve">EX-064</t>
  </si>
  <si>
    <t xml:space="preserve">Software Engineer, Core Infrastructure</t>
  </si>
  <si>
    <t xml:space="preserve">https://stripe.com/careers/listing/software-engineer-core-infrastructure/7975725</t>
  </si>
  <si>
    <t xml:space="preserve">not India (Sydney)</t>
  </si>
  <si>
    <t xml:space="preserve">EX-065</t>
  </si>
  <si>
    <t xml:space="preserve">Senior Software Engineer - Golang and/or Python</t>
  </si>
  <si>
    <t xml:space="preserve">https://jobs.anitab.org/companies/wells-fargo/jobs/86939126-senior-software-engineer-golang-and-or-python</t>
  </si>
  <si>
    <t xml:space="preserve">closed (posted 2026-07-21, ended 2026-08-30)</t>
  </si>
  <si>
    <t xml:space="preserve">EX-066</t>
  </si>
  <si>
    <t xml:space="preserve">Principal Software Engineer (AM Tech)</t>
  </si>
  <si>
    <t xml:space="preserve">https://jobs.fidelity.com/in/jobs/2133998/principal-software-engineer/</t>
  </si>
  <si>
    <t xml:space="preserve">Java required (Java 17+, Spring Boot)</t>
  </si>
  <si>
    <t xml:space="preserve">EX-067</t>
  </si>
  <si>
    <t xml:space="preserve">Senior Software Engineer (Dreamwork listing)</t>
  </si>
  <si>
    <t xml:space="preserve">https://www.dreamworkhq.com/job/90111e9a-928d-4bbb-a1a0-5a8cf66332ef</t>
  </si>
  <si>
    <t xml:space="preserve">3-5 years, junior for Om; Java required alongside Go</t>
  </si>
  <si>
    <t xml:space="preserve">EX-068</t>
  </si>
  <si>
    <t xml:space="preserve">Lead Platform Engineer - VP - Cloud &amp; Infrastructure Engineering</t>
  </si>
  <si>
    <t xml:space="preserve">https://jobs.anitab.org/companies/morgan-stanley/jobs/73712909-lead-platform-engineer-vice-president-cloud-infrastructure-engineering</t>
  </si>
  <si>
    <t xml:space="preserve">EX-069</t>
  </si>
  <si>
    <t xml:space="preserve">Software Development Engineer - IV - Backend</t>
  </si>
  <si>
    <t xml:space="preserve">https://jobs.lever.co/meesho/b20da5af-c188-4123-b54b-5438c8a62628</t>
  </si>
  <si>
    <t xml:space="preserve">Java required</t>
  </si>
  <si>
    <t xml:space="preserve">EX-070</t>
  </si>
  <si>
    <t xml:space="preserve">SDE IV - Engineering (DSP data engineering)</t>
  </si>
  <si>
    <t xml:space="preserve">https://job-boards.greenhouse.io/inmobi/jobs/7790070</t>
  </si>
  <si>
    <t xml:space="preserve">location Lucknow, outside Om s cities; data-pipeline heavy</t>
  </si>
  <si>
    <t xml:space="preserve">EX-071</t>
  </si>
  <si>
    <t xml:space="preserve">SDE III/IV - Data Platform Engineering</t>
  </si>
  <si>
    <t xml:space="preserve">https://job-boards.greenhouse.io/inmobi/jobs/7956875</t>
  </si>
  <si>
    <t xml:space="preserve">location Lucknow, outside Om s cities</t>
  </si>
  <si>
    <t xml:space="preserve">EX-072</t>
  </si>
  <si>
    <t xml:space="preserve">SDE III Gen AI (Glance AI)</t>
  </si>
  <si>
    <t xml:space="preserve">https://job-boards.greenhouse.io/inmobi/jobs/7548045</t>
  </si>
  <si>
    <t xml:space="preserve">applied ML/LLM engineering (Path B profile: 5+ years ML/AI in production, PyTorch), not platform software</t>
  </si>
  <si>
    <t xml:space="preserve">EX-073</t>
  </si>
  <si>
    <t xml:space="preserve">Staff AI Platform Engineer - Inference &amp; Agentic Systems</t>
  </si>
  <si>
    <t xml:space="preserve">https://jobs.lever.co/paytm/c298cc86-560a-4b3b-87fb-40fb0b9c8ee5</t>
  </si>
  <si>
    <t xml:space="preserve">not India (Toronto, Paytm Labs); AI terms noted: vLLM, TensorRT-LLM, Triton, model serving, LoRA</t>
  </si>
  <si>
    <t xml:space="preserve">EX-074</t>
  </si>
  <si>
    <t xml:space="preserve">Senior Platform Software Engineer (Oracle Managed Kubernetes)</t>
  </si>
  <si>
    <t xml:space="preserve">https://www.dreamworkhq.com/job/72b3ac50-39b4-43da-8ea3-837697df5035</t>
  </si>
  <si>
    <t xml:space="preserve">requirements not shown and availability being reconfirmed by the mirror</t>
  </si>
  <si>
    <t xml:space="preserve">EX-075</t>
  </si>
  <si>
    <t xml:space="preserve">Senior Backend Engineer - Anywhere Cloud</t>
  </si>
  <si>
    <t xml:space="preserve">https://www.dreamworkhq.com/job/cce8793b-cce1-4413-bc20-9997a1f2a8c5</t>
  </si>
  <si>
    <t xml:space="preserve">not India (San Jose, US)</t>
  </si>
  <si>
    <t xml:space="preserve">EX-076</t>
  </si>
  <si>
    <t xml:space="preserve">Senior Software Engineer - Platform &amp; Infrastructure</t>
  </si>
  <si>
    <t xml:space="preserve">https://builtin.com/job/senior-software-engineer-platform-infrastructure/10002728</t>
  </si>
  <si>
    <t xml:space="preserve">closed (removed 2026-08-11)</t>
  </si>
  <si>
    <t xml:space="preserve">EX-077</t>
  </si>
  <si>
    <t xml:space="preserve">Software Senior Engineer (Dreamwork listing)</t>
  </si>
  <si>
    <t xml:space="preserve">https://www.dreamworkhq.com/job/55f41753-59d9-434c-ac5a-9b4602ce6d2c</t>
  </si>
  <si>
    <t xml:space="preserve">EX-078</t>
  </si>
  <si>
    <t xml:space="preserve">Senior Staff Software Development Engineer (Dreamwork listing)</t>
  </si>
  <si>
    <t xml:space="preserve">https://www.dreamworkhq.com/job/c3165ae3-ebb7-432f-8c86-0955325ae2ed</t>
  </si>
  <si>
    <t xml:space="preserve">EX-079</t>
  </si>
  <si>
    <t xml:space="preserve">Golang Developer</t>
  </si>
  <si>
    <t xml:space="preserve">https://builtinbengaluru.in/job/golang-developer/7867784</t>
  </si>
  <si>
    <t xml:space="preserve">EX-080</t>
  </si>
  <si>
    <t xml:space="preserve">Senior Engineer - SUSE Rancher</t>
  </si>
  <si>
    <t xml:space="preserve">https://builtinbengaluru.in/job/senior-engineer-suse-rancher/7822310</t>
  </si>
  <si>
    <t xml:space="preserve">closed (removed 2026-03-03); platform administration role</t>
  </si>
  <si>
    <t xml:space="preserve">EX-081</t>
  </si>
  <si>
    <t xml:space="preserve">Senior Systems/Software Engineer - Hybrid Cloud/Automation</t>
  </si>
  <si>
    <t xml:space="preserve">https://builtinbengaluru.in/job/senior-systems-software-engineer-hybrid-cloud-automation/7788873</t>
  </si>
  <si>
    <t xml:space="preserve">closed (removed 2026-03-03); GPU infrastructure and operators noted</t>
  </si>
  <si>
    <t xml:space="preserve">EX-082</t>
  </si>
  <si>
    <t xml:space="preserve">Software Engineer - CloudVision</t>
  </si>
  <si>
    <t xml:space="preserve">https://jobs.khoslaventures.com/companies/arista-networks-2/jobs/40439109-software-engineer-cloudvision</t>
  </si>
  <si>
    <t xml:space="preserve">EX-083</t>
  </si>
  <si>
    <t xml:space="preserve">Software Engineer (C++, Golang, Python)</t>
  </si>
  <si>
    <t xml:space="preserve">https://jobs.accel.com/companies/cohesity/jobs/73702805-software-engineer-c-golang-python</t>
  </si>
  <si>
    <t xml:space="preserve">EX-084</t>
  </si>
  <si>
    <t xml:space="preserve">Staff Engineer, API Protection</t>
  </si>
  <si>
    <t xml:space="preserve">https://builtinbengaluru.in/job/staff-srstaff-engineer-api-protection/4671293</t>
  </si>
  <si>
    <t xml:space="preserve">closed (removed 2026-01-22)</t>
  </si>
  <si>
    <t xml:space="preserve">EX-085</t>
  </si>
  <si>
    <t xml:space="preserve">Platform Engineer - Kubernetes</t>
  </si>
  <si>
    <t xml:space="preserve">https://freehire.me/jobs/platform-engineer-kubernetes-elastic-cfhv2hya</t>
  </si>
  <si>
    <t xml:space="preserve">not India (Remote US); operations-heavy</t>
  </si>
  <si>
    <t xml:space="preserve">EX-086</t>
  </si>
  <si>
    <t xml:space="preserve">Staff Software Engineer (Bengaluru)</t>
  </si>
  <si>
    <t xml:space="preserve">https://jobs.paloaltonetworks.com/de/stellenbeschreibung/bengaluru/staff-software-engineer/47263/96174865744</t>
  </si>
  <si>
    <t xml:space="preserve">closed (job link now shows the careers home page)</t>
  </si>
  <si>
    <t xml:space="preserve">EX-087</t>
  </si>
  <si>
    <t xml:space="preserve">Software Engineering PMTS - Backend Distributed Systems - Cloud Infrastructure (Hyderabad)</t>
  </si>
  <si>
    <t xml:space="preserve">https://www.dreamworkhq.com/job/b5e3ad8a-570f-482c-bd99-083e00768b09</t>
  </si>
  <si>
    <t xml:space="preserve">years 15+, above Om s 12 (Principal level)</t>
  </si>
  <si>
    <t xml:space="preserve">EX-088</t>
  </si>
  <si>
    <t xml:space="preserve">Senior Staff Engineer - Infrastructure Software</t>
  </si>
  <si>
    <t xml:space="preserve">https://www.dreamworkhq.com/job/deef20ca-0931-4516-918c-9b2448f39942</t>
  </si>
  <si>
    <t xml:space="preserve">infra, DevOps and FinOps leadership dominates; building is not most of the role</t>
  </si>
  <si>
    <t xml:space="preserve">EX-089</t>
  </si>
  <si>
    <t xml:space="preserve">Senior Software Engineer - Kubernetes Orchestration (R0000335)</t>
  </si>
  <si>
    <t xml:space="preserve">https://www.dreamworkhq.com/job/f18247e8-1aa1-4954-90f4-65e26cc93d75</t>
  </si>
  <si>
    <t xml:space="preserve">EX-090</t>
  </si>
  <si>
    <t xml:space="preserve">Senior Software Engineer, Platform Engineering (gh 8095705)</t>
  </si>
  <si>
    <t xml:space="preserve">https://www.dreamworkhq.com/job/9ace163f-0b4e-4381-ba4b-638e95a32a78</t>
  </si>
  <si>
    <t xml:space="preserve">repost of CL-009 (same Roku job, gh_jid 8095705)</t>
  </si>
  <si>
    <t xml:space="preserve">EX-091</t>
  </si>
  <si>
    <t xml:space="preserve">Sr Staff Software Engineer (Infrastructure and Operations, Hyderabad)</t>
  </si>
  <si>
    <t xml:space="preserve">https://www.dreamworkhq.com/job/31af96c0-33f2-448c-ae3b-8331028d2d7d</t>
  </si>
  <si>
    <t xml:space="preserve">years 14+, above Om s 12 (operators, controllers, CRDs, Terraform required)</t>
  </si>
  <si>
    <t xml:space="preserve">EX-092</t>
  </si>
  <si>
    <t xml:space="preserve">Senior Software Engineer I - Managed Databases (DBaaS)</t>
  </si>
  <si>
    <t xml:space="preserve">https://www.dreamworkhq.com/job/c0f9adb6-ace5-4c62-a453-c6cef7121e02</t>
  </si>
  <si>
    <t xml:space="preserve">EX-093</t>
  </si>
  <si>
    <t xml:space="preserve">Sr Software Engineer (Kubernetes Operators &amp; Controllers, Go)</t>
  </si>
  <si>
    <t xml:space="preserve">https://www.dreamworkhq.com/job/ac027875-158f-4ffe-931a-5115e4353c4a</t>
  </si>
  <si>
    <t xml:space="preserve">EX-094</t>
  </si>
  <si>
    <t xml:space="preserve">Sr SW Engineer: Go, Java, Kubernetes, LLM, 3+ yrs</t>
  </si>
  <si>
    <t xml:space="preserve">https://www.dreamworkhq.com/job/4c6aabaf-4d83-4d2b-8d36-2a9dccfbff10</t>
  </si>
  <si>
    <t xml:space="preserve">Java and Spring Boot core alongside Go; 3+ years asked, junior for Om</t>
  </si>
  <si>
    <t xml:space="preserve">EX-095</t>
  </si>
  <si>
    <t xml:space="preserve">Lead Software Development Engineer (Staff)</t>
  </si>
  <si>
    <t xml:space="preserve">https://www.dreamworkhq.com/job/aecb8c36-24d4-45ef-ba6b-9037459e6368</t>
  </si>
  <si>
    <t xml:space="preserve">closed (no longer in the employer feed; Greenhouse job 4746961005)</t>
  </si>
  <si>
    <t xml:space="preserve">EX-096</t>
  </si>
  <si>
    <t xml:space="preserve">Software Engineer - Model API Platform</t>
  </si>
  <si>
    <t xml:space="preserve">https://jobs.ashbyhq.com/sarvam/0371342b-5cb8-487b-9310-4d0eb5b37f47</t>
  </si>
  <si>
    <t xml:space="preserve">mid level, 4-6 years, junior for Om; AI terms noted: model API serving, ASR/TTS streaming, LLM serving preferred</t>
  </si>
  <si>
    <t xml:space="preserve">EX-097</t>
  </si>
  <si>
    <t xml:space="preserve">Principal Engineer - Systems (Hyderabad)</t>
  </si>
  <si>
    <t xml:space="preserve">https://www.dreamworkhq.com/job/7a5df3d8-7bdb-44df-b780-7752cee7c456</t>
  </si>
  <si>
    <t xml:space="preserve">years 14+, above Om s 12</t>
  </si>
  <si>
    <t xml:space="preserve">EX-098</t>
  </si>
  <si>
    <t xml:space="preserve">Principal Software Engineer Lead (Kubernetes Product Platform)</t>
  </si>
  <si>
    <t xml:space="preserve">https://www.dreamworkhq.com/job/3592df04-d732-4149-a1e9-8fae2b2b5357</t>
  </si>
  <si>
    <t xml:space="preserve">not India (Remote US only)</t>
  </si>
  <si>
    <t xml:space="preserve">EX-099</t>
  </si>
  <si>
    <t xml:space="preserve">Senior II Software Engineer (Compute)</t>
  </si>
  <si>
    <t xml:space="preserve">https://www.dreamworkhq.com/job/fc877074-5613-41ee-b4d4-ee83335fefe5</t>
  </si>
  <si>
    <t xml:space="preserve">EX-100</t>
  </si>
  <si>
    <t xml:space="preserve">Senior Software Engineer, Core Infra Systems</t>
  </si>
  <si>
    <t xml:space="preserve">https://www.dreamworkhq.com/job/5c8b1de5-2324-4e16-9b35-1c3be6cbb08d</t>
  </si>
  <si>
    <t xml:space="preserve">EX-101</t>
  </si>
  <si>
    <t xml:space="preserve">Staff Software Engineer, Core AI Infrastructure</t>
  </si>
  <si>
    <t xml:space="preserve">https://www.dreamworkhq.com/job/43cfae6c-279f-471c-a00b-fa23ead6709f</t>
  </si>
  <si>
    <t xml:space="preserve">not India (Remote US only); AI serving infrastructure noted</t>
  </si>
  <si>
    <t xml:space="preserve">EX-102</t>
  </si>
  <si>
    <t xml:space="preserve">https://www.dreamworkhq.com/job/e0031a74-b0ec-4d2b-a922-4439fe1ee439</t>
  </si>
  <si>
    <t xml:space="preserve">EX-103</t>
  </si>
  <si>
    <t xml:space="preserve">Lead Software Engineer - Backend (Dreamwork listing)</t>
  </si>
  <si>
    <t xml:space="preserve">https://www.dreamworkhq.com/job/4a530a97-89d8-4bcd-a83f-7172ce89c596</t>
  </si>
  <si>
    <t xml:space="preserve">EX-104</t>
  </si>
  <si>
    <t xml:space="preserve">Staff Backend Engineer - Intelligent Cloud (pricing and billing)</t>
  </si>
  <si>
    <t xml:space="preserve">https://www.dreamworkhq.com/job/891c5002-e5a6-4ebd-88b0-f679410b4e4a</t>
  </si>
  <si>
    <t xml:space="preserve">Java required (Go only preferred)</t>
  </si>
  <si>
    <t xml:space="preserve">EX-105</t>
  </si>
  <si>
    <t xml:space="preserve">Lead Software Engineer-Kubernetes</t>
  </si>
  <si>
    <t xml:space="preserve">https://www.dreamworkhq.com/job/13695277-9d8c-4870-a28a-e70c80c8a36f</t>
  </si>
  <si>
    <t xml:space="preserve">EX-106</t>
  </si>
  <si>
    <t xml:space="preserve">Senior Systems Software Engineer, Accelerated Kubernetes Performance and Scale - DGX Cloud</t>
  </si>
  <si>
    <t xml:space="preserve">https://www.dreamworkhq.com/job/6de5e06b-ce40-4fa6-a280-4c07fa79f958</t>
  </si>
  <si>
    <t xml:space="preserve">not India (Santa Clara, US); AI platform work noted (GPU Operator, inference cold start)</t>
  </si>
  <si>
    <t xml:space="preserve">EX-107</t>
  </si>
  <si>
    <t xml:space="preserve">Senior Staff Engineer, Bare Metal Kubernetes Platform</t>
  </si>
  <si>
    <t xml:space="preserve">https://www.dreamworkhq.com/job/d25926d4-3d57-4bff-8f93-9005851e5b50</t>
  </si>
  <si>
    <t xml:space="preserve">SRE and operations duties (bare-metal provisioning, upgrades, on-call); no programming language named</t>
  </si>
  <si>
    <t xml:space="preserve">EX-108</t>
  </si>
  <si>
    <t xml:space="preserve">Software Engineer - Infrastructure</t>
  </si>
  <si>
    <t xml:space="preserve">https://www.dreamworkhq.com/job/87ff40de-1454-446b-a893-a9141f9c6041</t>
  </si>
  <si>
    <t xml:space="preserve">SRE and DevOps duties make up most of the role (stability, ArgoCD, CDN, observability, PagerDuty on-call); 3+ years</t>
  </si>
  <si>
    <t xml:space="preserve">EX-109</t>
  </si>
  <si>
    <t xml:space="preserve">Sr Software Engineer - Kubernetes</t>
  </si>
  <si>
    <t xml:space="preserve">https://www.dreamworkhq.com/job/ee6c6607-b314-4aeb-b4a7-c1c5d4ee5972</t>
  </si>
  <si>
    <t xml:space="preserve">closed (no longer in the employer feed)</t>
  </si>
  <si>
    <t xml:space="preserve">EX-110</t>
  </si>
  <si>
    <t xml:space="preserve">Careers page DEV-BE01 (generic Centres of Excellence listing)</t>
  </si>
  <si>
    <t xml:space="preserve">https://juspay.io/careers/DEV-BE01</t>
  </si>
  <si>
    <t xml:space="preserve">unreadable as a posting: no title, level, location or date on the page</t>
  </si>
  <si>
    <t xml:space="preserve">EX-111</t>
  </si>
  <si>
    <t xml:space="preserve">Senior Software Engineer - Codeship (Developer Experience)</t>
  </si>
  <si>
    <t xml:space="preserve">https://simplify.jobs/p/7c65b24f-ce42-4ebf-8caf-38e4676cadb8/Senior-Software-Engineer</t>
  </si>
  <si>
    <t xml:space="preserve">closed (status INACTIVE) and older than 3 months (posted 2025-11-20)</t>
  </si>
  <si>
    <t xml:space="preserve">EX-112</t>
  </si>
  <si>
    <t xml:space="preserve">Sr Staff Software Engineer - Compute Platform (Getro board)</t>
  </si>
  <si>
    <t xml:space="preserve">https://talent.swayvc.com/companies/uber/jobs/65595617-sr-staff-software-engineer-compute-platform</t>
  </si>
  <si>
    <t xml:space="preserve">EX-113</t>
  </si>
  <si>
    <t xml:space="preserve">Senior Software Engineer - Distributed Systems (observability platform)</t>
  </si>
  <si>
    <t xml:space="preserve">https://www.dreamworkhq.com/job/c4816800-9616-488d-8776-a6fb5d9b2515</t>
  </si>
  <si>
    <t xml:space="preserve">not India (Dublin, Ireland); Workday is on Claude s list, so ChatGPT s Ireland slice cannot use it</t>
  </si>
  <si>
    <t xml:space="preserve">EX-114</t>
  </si>
  <si>
    <t xml:space="preserve">not India (San Jose, US); Go controllers and Helm noted</t>
  </si>
  <si>
    <t xml:space="preserve">EX-115</t>
  </si>
  <si>
    <t xml:space="preserve">Senior Computer Scientist (R171147)</t>
  </si>
  <si>
    <t xml:space="preserve">https://careers.adobe.com/us/en/job/R171147/Senior-Computer-Scientist</t>
  </si>
  <si>
    <t xml:space="preserve">EX-116</t>
  </si>
  <si>
    <t xml:space="preserve">Sr. Computer Scientist (R166476)</t>
  </si>
  <si>
    <t xml:space="preserve">https://careers.adobe.com/us/en/job/R166476/Sr-Computer-Scientist</t>
  </si>
  <si>
    <t xml:space="preserve">EX-117</t>
  </si>
  <si>
    <t xml:space="preserve">Sr. Software Engineer (Distributed Systems), Dreamwork listing</t>
  </si>
  <si>
    <t xml:space="preserve">https://www.dreamworkhq.com/job/7e3cd63e-1298-4d3f-a157-b788c3d4ba5d</t>
  </si>
  <si>
    <t xml:space="preserve">EX-118</t>
  </si>
  <si>
    <t xml:space="preserve">Computer Scientist (Python), Noida</t>
  </si>
  <si>
    <t xml:space="preserve">https://www.dreamworkhq.com/job/2890f6d6-3f50-4024-9be0-8a0c0e11421b</t>
  </si>
  <si>
    <t xml:space="preserve">applied AI engineering (LLM fine-tuning with LoRA, RAG pipelines, agentic workflows), not backend infrastructure; noted for the AI count</t>
  </si>
  <si>
    <t xml:space="preserve">EX-119</t>
  </si>
  <si>
    <t xml:space="preserve">Senior Software Development Engineer (Workday Government, observability)</t>
  </si>
  <si>
    <t xml:space="preserve">https://www.dreamworkhq.com/job/6ef1fcaa-c6a5-493b-bbdd-32057997a62f</t>
  </si>
  <si>
    <t xml:space="preserve">not India (Reston, US); Java and Python required</t>
  </si>
  <si>
    <t xml:space="preserve">EX-120</t>
  </si>
  <si>
    <t xml:space="preserve">Sr Software Development Engineer (Workday Government, GovCloud)</t>
  </si>
  <si>
    <t xml:space="preserve">https://www.dreamworkhq.com/job/597c6575-c56c-4121-bb6b-e2078bc167b4</t>
  </si>
  <si>
    <t xml:space="preserve">not India (Reston, US; US citizens only); DevOps duties</t>
  </si>
  <si>
    <t xml:space="preserve">EX-121</t>
  </si>
  <si>
    <t xml:space="preserve">EX-122</t>
  </si>
  <si>
    <t xml:space="preserve">Senior Software Engineer, Platform &amp; Infrastructure</t>
  </si>
  <si>
    <t xml:space="preserve">https://www.dreamworkhq.com/job/b424cd62-d04d-415f-89f4-706a95a9d643</t>
  </si>
  <si>
    <t xml:space="preserve">EX-123</t>
  </si>
  <si>
    <t xml:space="preserve">Senior Software Engineer - Distributed Systems</t>
  </si>
  <si>
    <t xml:space="preserve">https://www.dreamworkhq.com/job/acf5ab51-2fb6-472c-aec0-f4305c200fa5</t>
  </si>
  <si>
    <t xml:space="preserve">years 4-6 (bounded range below Om s 12); Rust-first</t>
  </si>
  <si>
    <t xml:space="preserve">EX-124</t>
  </si>
  <si>
    <t xml:space="preserve">Principal Platform Engineer</t>
  </si>
  <si>
    <t xml:space="preserve">https://www.dreamworkhq.com/job/d1e12891-39ec-4dfe-be1f-37dcea365694</t>
  </si>
  <si>
    <t xml:space="preserve">EX-125</t>
  </si>
  <si>
    <t xml:space="preserve">Principal Software Engineer (Dreamwork listing)</t>
  </si>
  <si>
    <t xml:space="preserve">https://www.dreamworkhq.com/job/6fcf9350-91d0-4064-82d9-2b281b6b0415</t>
  </si>
  <si>
    <t xml:space="preserve">EX-126</t>
  </si>
  <si>
    <t xml:space="preserve">Principal Engineer - High-Performance Computing</t>
  </si>
  <si>
    <t xml:space="preserve">https://www.dreamworkhq.com/job/7fb1b58b-d737-4884-822c-1a0d0cd68680</t>
  </si>
  <si>
    <t xml:space="preserve">EX-127</t>
  </si>
  <si>
    <t xml:space="preserve">Principal Platform Engineer (High Availability &amp; Disaster Recovery), Gurugram</t>
  </si>
  <si>
    <t xml:space="preserve">https://www.dreamworkhq.com/job/2732f626-1eeb-460d-8f7c-35c6b1b4daad</t>
  </si>
  <si>
    <t xml:space="preserve">SRE and infrastructure operations focus (HA and DR, Terraform or Ansible, networking); no programming language named</t>
  </si>
  <si>
    <t xml:space="preserve">EX-128</t>
  </si>
  <si>
    <t xml:space="preserve">Senior Staff Software Engineer - Golang (Consumer Team), Hyderabad</t>
  </si>
  <si>
    <t xml:space="preserve">https://www.dreamworkhq.com/job/46ea9cb2-92d9-45d3-93a4-89f67b0c6e75</t>
  </si>
  <si>
    <t xml:space="preserve">years 13-16+, above Om s 12</t>
  </si>
  <si>
    <t xml:space="preserve">EX-129</t>
  </si>
  <si>
    <t xml:space="preserve">Lead Software Engineer, Python/Flask</t>
  </si>
  <si>
    <t xml:space="preserve">https://www.dreamworkhq.com/job/0924d06b-a21d-4e93-88d9-9cbcff1bcb47</t>
  </si>
  <si>
    <t xml:space="preserve">unverifiable: the employer link points to a different job (Principal Sales Support Engineer)</t>
  </si>
  <si>
    <t xml:space="preserve">EX-130</t>
  </si>
  <si>
    <t xml:space="preserve">Senior Infrastructure Developer</t>
  </si>
  <si>
    <t xml:space="preserve">https://www.dreamworkhq.com/job/1c0c8aba-cbfa-4825-85a9-dffaa9056b3b</t>
  </si>
  <si>
    <t xml:space="preserve">EX-131</t>
  </si>
  <si>
    <t xml:space="preserve">Staff Engineer [12-15 yrs experience], Files engineering</t>
  </si>
  <si>
    <t xml:space="preserve">https://careers.nutanix.com/en/jobs/31748/staff-engineer-12-15-yrs-experience/</t>
  </si>
  <si>
    <t xml:space="preserve">C++ required (Python or Go only a bonus)</t>
  </si>
  <si>
    <t xml:space="preserve">EX-132</t>
  </si>
  <si>
    <t xml:space="preserve">Member of Technical Staff - 3 (Java/Golang), Prism</t>
  </si>
  <si>
    <t xml:space="preserve">https://careers.nutanix.com/en/jobs/32160/member-of-technical-staff-3-javagolang/</t>
  </si>
  <si>
    <t xml:space="preserve">junior for Om: MTS-3 with 4+ years; location not printed on the page</t>
  </si>
  <si>
    <t xml:space="preserve">EX-133</t>
  </si>
  <si>
    <t xml:space="preserve">Staff Engineer (Backend Golang+Kubernetes-14-18yrs) Pune</t>
  </si>
  <si>
    <t xml:space="preserve">https://careers.nutanix.com/en/jobs/32373/staff-engineer/</t>
  </si>
  <si>
    <t xml:space="preserve">years 14-18 in the title (body says 12+); recorded as above Om s 12</t>
  </si>
  <si>
    <t xml:space="preserve">EX-134</t>
  </si>
  <si>
    <t xml:space="preserve">Senior Member of Technical Staff - NC2</t>
  </si>
  <si>
    <t xml:space="preserve">https://careers.nutanix.com/en/jobs/32247/senior-member-of-technical-staff-nc2/</t>
  </si>
  <si>
    <t xml:space="preserve">EX-135</t>
  </si>
  <si>
    <t xml:space="preserve">Senior Platform Software Engineer (K8s)</t>
  </si>
  <si>
    <t xml:space="preserve">https://job-boards.greenhouse.io/earnin/jobs/7454325</t>
  </si>
  <si>
    <t xml:space="preserve">closed (the link opens the job index, the posting is gone)</t>
  </si>
  <si>
    <t xml:space="preserve">EX-136</t>
  </si>
  <si>
    <t xml:space="preserve">Staff Platform Engineer</t>
  </si>
  <si>
    <t xml:space="preserve">https://jobs.lever.co/hevodata/272ae17d-2b06-4b62-b596-e3687b0f744d</t>
  </si>
  <si>
    <t xml:space="preserve">SRE and DevOps duties (8+ years in DevOps, SRE or platform; on-call, CI/CD, IaC, cluster operations)</t>
  </si>
  <si>
    <t xml:space="preserve">EX-137</t>
  </si>
  <si>
    <t xml:space="preserve">Software Engineer, Infrastructure (Bengaluru)</t>
  </si>
  <si>
    <t xml:space="preserve">https://jobs.ashbyhq.com/granica/7aaa13dc-df48-446f-8df6-1554158b84f1</t>
  </si>
  <si>
    <t xml:space="preserve">unreadable: page needs JavaScript, only metadata visible</t>
  </si>
  <si>
    <t xml:space="preserve">EX-138</t>
  </si>
  <si>
    <t xml:space="preserve">Staff Software Engineer (Hybrid, Bangalore)</t>
  </si>
  <si>
    <t xml:space="preserve">https://job-boards.greenhouse.io/apolloio/jobs/6174446004</t>
  </si>
  <si>
    <t xml:space="preserve">org-wide product technical direction (AI and agents rebuild) on a Ruby on Rails and Python stack, not backend infrastructure</t>
  </si>
  <si>
    <t xml:space="preserve">EX-139</t>
  </si>
  <si>
    <t xml:space="preserve">Software Engineer - Storage</t>
  </si>
  <si>
    <t xml:space="preserve">https://builtinbengaluru.in/job/software-engineer-storage/11863977</t>
  </si>
  <si>
    <t xml:space="preserve">Node.js required</t>
  </si>
  <si>
    <t xml:space="preserve">EX-140</t>
  </si>
  <si>
    <t xml:space="preserve">Software Engineer - Platform</t>
  </si>
  <si>
    <t xml:space="preserve">https://builtinbengaluru.in/job/software-engineer-platform/11588675</t>
  </si>
  <si>
    <t xml:space="preserve">DevOps and compliance duties (AWS CDK, GitLab CI/CD, SOC 2 audit evidence); about 5 years</t>
  </si>
  <si>
    <t xml:space="preserve">EX-141</t>
  </si>
  <si>
    <t xml:space="preserve">Senior Software Engineer (Pune)</t>
  </si>
  <si>
    <t xml:space="preserve">https://www.dreamworkhq.com/job/40e7c889-8ff2-4939-8802-c79566339d52</t>
  </si>
  <si>
    <t xml:space="preserve">EX-142</t>
  </si>
  <si>
    <t xml:space="preserve">Staff Software Engineer</t>
  </si>
  <si>
    <t xml:space="preserve">https://www.dreamworkhq.com/job/da0a03a4-d5c7-4364-9142-aba4a17cbd7a</t>
  </si>
  <si>
    <t xml:space="preserve">closed (closing date 2026-10-25); Java and Spring Boot required</t>
  </si>
  <si>
    <t xml:space="preserve">EX-143</t>
  </si>
  <si>
    <t xml:space="preserve">Senior Software Engineer (Go, Node.js)</t>
  </si>
  <si>
    <t xml:space="preserve">https://www.dreamworkhq.com/job/bc58d042-2947-4a82-9044-db1d7577a5c9</t>
  </si>
  <si>
    <t xml:space="preserve">EX-144</t>
  </si>
  <si>
    <t xml:space="preserve">Senior Software Engineer (Gurugram)</t>
  </si>
  <si>
    <t xml:space="preserve">https://www.dreamworkhq.com/job/9b7eeea3-190c-4b72-bb6e-2fb9a16f1121</t>
  </si>
  <si>
    <t xml:space="preserve">EX-145</t>
  </si>
  <si>
    <t xml:space="preserve">Sr Software Engineer (Golang Developer)</t>
  </si>
  <si>
    <t xml:space="preserve">https://www.dreamworkhq.com/job/f801f46e-da3e-42ee-bcb7-254db1011c2f</t>
  </si>
  <si>
    <t xml:space="preserve">EX-146</t>
  </si>
  <si>
    <t xml:space="preserve">Senior Staff Software Engineer - Networking</t>
  </si>
  <si>
    <t xml:space="preserve">https://www.dreamworkhq.com/job/eeffb929-9155-4fa9-8a80-9a8a8255a2ab</t>
  </si>
  <si>
    <t xml:space="preserve">years 15+, above Om s 12</t>
  </si>
  <si>
    <t xml:space="preserve">EX-147</t>
  </si>
  <si>
    <t xml:space="preserve">Staff Software Engineer I - Kubernetes, ArgoCD</t>
  </si>
  <si>
    <t xml:space="preserve">https://www.dreamworkhq.com/job/29e3c30c-1f31-41a4-9f84-85bbf6c31453</t>
  </si>
  <si>
    <t xml:space="preserve">EX-148</t>
  </si>
  <si>
    <t xml:space="preserve">Senior Software Engineer - Capacity</t>
  </si>
  <si>
    <t xml:space="preserve">https://www.dreamworkhq.com/job/f2638528-7ea0-48d4-867b-42167df9015a</t>
  </si>
  <si>
    <t xml:space="preserve">not India (Bellevue, US); GPU capacity platform noted</t>
  </si>
  <si>
    <t xml:space="preserve">EX-149</t>
  </si>
  <si>
    <t xml:space="preserve">Senior AI API Platform Engineer</t>
  </si>
  <si>
    <t xml:space="preserve">https://www.dreamworkhq.com/job/d9a83789-6743-430b-850d-1d620d2b837a</t>
  </si>
  <si>
    <t xml:space="preserve">enterprise IT integration and API governance (iPaaS such as MuleSoft, Workato, Boomi) in IT and Services, not backend infrastructure; LLM tool-calling noted</t>
  </si>
  <si>
    <t xml:space="preserve">EX-150</t>
  </si>
  <si>
    <t xml:space="preserve">Senior Staff Software Engineer, Distributed Systems (Pune)</t>
  </si>
  <si>
    <t xml:space="preserve">https://www.dreamworkhq.com/job/ff77e023-cf15-46f7-89e8-aa627b0212b4</t>
  </si>
  <si>
    <t xml:space="preserve">years 5-7 (bounded range below Om s 12)</t>
  </si>
  <si>
    <t xml:space="preserve">EX-151</t>
  </si>
  <si>
    <t xml:space="preserve">Software Engineer - Cloud Native Protection</t>
  </si>
  <si>
    <t xml:space="preserve">https://www.dreamworkhq.com/job/af679eac-7d8b-42af-a32c-67c72eaf7cec</t>
  </si>
  <si>
    <t xml:space="preserve">EX-152</t>
  </si>
  <si>
    <t xml:space="preserve">https://www.dreamworkhq.com/job/f215ab49-ff03-4f6e-9557-7f4b26d65b18</t>
  </si>
  <si>
    <t xml:space="preserve">EX-153</t>
  </si>
  <si>
    <t xml:space="preserve">Senior Software Engineer - Container Platform</t>
  </si>
  <si>
    <t xml:space="preserve">https://builtin.com/job/senior-software-engineer-container-platform/4731332</t>
  </si>
  <si>
    <t xml:space="preserve">closed (removed 2025-05-08); not India (Menlo Park)</t>
  </si>
  <si>
    <t xml:space="preserve">EX-154</t>
  </si>
  <si>
    <t xml:space="preserve">Principal Engineer Software - NGFW (NetSec) - Bangalore</t>
  </si>
  <si>
    <t xml:space="preserve">https://www.dreamworkhq.com/job/690bbda8-c18f-49aa-920b-bce9381b5fb7</t>
  </si>
  <si>
    <t xml:space="preserve">Linux appliance systems engineering (boot, VPN, hypervisors, release CI), not backend infrastructure; no language required</t>
  </si>
  <si>
    <t xml:space="preserve">EX-155</t>
  </si>
  <si>
    <t xml:space="preserve">Lead Software Engineer</t>
  </si>
  <si>
    <t xml:space="preserve">https://www.dreamworkhq.com/job/1f7a4014-1752-4d0b-a282-31e028a27310</t>
  </si>
  <si>
    <t xml:space="preserve">EX-156</t>
  </si>
  <si>
    <t xml:space="preserve">Senior Software Engineer - SSC</t>
  </si>
  <si>
    <t xml:space="preserve">https://www.dreamworkhq.com/job/aa9c90f4-19c8-41dc-addf-5accca6303bd</t>
  </si>
  <si>
    <t xml:space="preserve">not India (Spain); JavaScript, TypeScript and Node.js required</t>
  </si>
  <si>
    <t xml:space="preserve">EX-157</t>
  </si>
  <si>
    <t xml:space="preserve">Staff Software Engineer - AI SRE</t>
  </si>
  <si>
    <t xml:space="preserve">https://www.dreamworkhq.com/job/cfae2ea7-3edd-4184-9015-0f5a66203653</t>
  </si>
  <si>
    <t xml:space="preserve">Java required; on-call SRE product team</t>
  </si>
  <si>
    <t xml:space="preserve">EX-158</t>
  </si>
  <si>
    <t xml:space="preserve">Senior Software Engineer (AWS Platform)</t>
  </si>
  <si>
    <t xml:space="preserve">https://www.dreamworkhq.com/job/0b6aab50-5d7e-4003-a1cc-0aad9b4ee8fc</t>
  </si>
  <si>
    <t xml:space="preserve">EX-159</t>
  </si>
  <si>
    <t xml:space="preserve">https://www.dreamworkhq.com/job/c4d3fbc4-d8ec-49b9-8c30-cc0bc99a97c5</t>
  </si>
  <si>
    <t xml:space="preserve">EX-160</t>
  </si>
  <si>
    <t xml:space="preserve">https://www.dreamworkhq.com/job/0fc2d66b-ebce-4b74-ac91-3b25652600ba</t>
  </si>
  <si>
    <t xml:space="preserve">Java required (Java platform engineering, Spring Boot)</t>
  </si>
  <si>
    <t xml:space="preserve">EX-161</t>
  </si>
  <si>
    <t xml:space="preserve">Lead Software Engineer (Pune)</t>
  </si>
  <si>
    <t xml:space="preserve">https://www.dreamworkhq.com/job/9457e76f-4830-4983-9d31-e907f0c38fac</t>
  </si>
  <si>
    <t xml:space="preserve">Java required (enterprise Java, Spring Boot, Oracle)</t>
  </si>
  <si>
    <t xml:space="preserve">EX-162</t>
  </si>
  <si>
    <t xml:space="preserve">Senior Platform Engineer (Pune)</t>
  </si>
  <si>
    <t xml:space="preserve">https://www.dreamworkhq.com/job/f1404403-e8ce-4873-9bbc-8a72d126d761</t>
  </si>
  <si>
    <t xml:space="preserve">DevOps duties (Azure infrastructure as code with Terraform, deployment automation)</t>
  </si>
  <si>
    <t xml:space="preserve">EX-163</t>
  </si>
  <si>
    <t xml:space="preserve">Staff Software Engineer, SDKs &amp; Open Source (FGA DevEx)</t>
  </si>
  <si>
    <t xml:space="preserve">https://www.dreamworkhq.com/job/d0c1c3a2-5450-4061-97d0-ee458b20b845</t>
  </si>
  <si>
    <t xml:space="preserve">SDK and developer-experience lead (client libraries, CLI, docs), not backend infrastructure</t>
  </si>
  <si>
    <t xml:space="preserve">EX-164</t>
  </si>
  <si>
    <t xml:space="preserve">Lowe s India</t>
  </si>
  <si>
    <t xml:space="preserve">Sr Software Engineer (HR AI team)</t>
  </si>
  <si>
    <t xml:space="preserve">https://www.dreamworkhq.com/job/56e32ff9-0244-4dff-b62c-c16a2bc4de72</t>
  </si>
  <si>
    <t xml:space="preserve">Java required (Java and Spring Boot; Python only secondary)</t>
  </si>
  <si>
    <t xml:space="preserve">EX-165</t>
  </si>
  <si>
    <t xml:space="preserve">Oracle</t>
  </si>
  <si>
    <t xml:space="preserve">Senior Member of Technical Staff (Dreamwork listing)</t>
  </si>
  <si>
    <t xml:space="preserve">https://www.dreamworkhq.com/job/afb5560e-10fa-451a-8bde-018d321f01ac</t>
  </si>
  <si>
    <t xml:space="preserve">EX-166</t>
  </si>
  <si>
    <t xml:space="preserve">Senior Platform Software Engineer (Dreamwork listing)</t>
  </si>
  <si>
    <t xml:space="preserve">https://www.dreamworkhq.com/job/de04036e-dc20-4866-bd5d-dcb0cd1c2255</t>
  </si>
  <si>
    <t xml:space="preserve">EX-167</t>
  </si>
  <si>
    <t xml:space="preserve">Senior Software Development Engineer - Data Platform</t>
  </si>
  <si>
    <t xml:space="preserve">https://www.dreamworkhq.com/job/c095f2db-f187-4b94-8125-f57224bd1ba7</t>
  </si>
  <si>
    <t xml:space="preserve">EX-168</t>
  </si>
  <si>
    <t xml:space="preserve">Senior Core Infrastructure Engineer (OCI Raw Metal Cloud)</t>
  </si>
  <si>
    <t xml:space="preserve">https://www.dreamworkhq.com/job/dabaccc9-9e4e-41dd-9c2d-77ec0cf8f283</t>
  </si>
  <si>
    <t xml:space="preserve">DevOps duties (infrastructure-as-code modules, provisioning automation, CI/CD, monitoring, runbooks)</t>
  </si>
  <si>
    <t xml:space="preserve">EX-169</t>
  </si>
  <si>
    <t xml:space="preserve">Senior Engineer, Core Infrastructure (Dreamwork listing)</t>
  </si>
  <si>
    <t xml:space="preserve">https://www.dreamworkhq.com/job/5cf00435-184c-4ecc-bfe7-10d28fc4a4fb</t>
  </si>
  <si>
    <t xml:space="preserve">EX-170</t>
  </si>
  <si>
    <t xml:space="preserve">Software Development Engineer III (Bengaluru)</t>
  </si>
  <si>
    <t xml:space="preserve">https://www.dreamworkhq.com/job/bd7a9dbf-0985-4dfa-9566-fafd2209acb5</t>
  </si>
  <si>
    <t xml:space="preserve">EX-171</t>
  </si>
  <si>
    <t xml:space="preserve">Senior Software Development Engineer (Dreamwork listing)</t>
  </si>
  <si>
    <t xml:space="preserve">https://www.dreamworkhq.com/job/6bf93f67-ec99-4b95-9e5f-b784921d2eeb</t>
  </si>
  <si>
    <t xml:space="preserve">EX-172</t>
  </si>
  <si>
    <t xml:space="preserve">Sr. Platform Engineer - Kubernetes (Remote)</t>
  </si>
  <si>
    <t xml:space="preserve">https://jobs.accel.com/companies/crowdstrike/jobs/91670562-sr-platform-engineer-kubernetes-remote</t>
  </si>
  <si>
    <t xml:space="preserve">closed (no longer accepting applications); not India (US remote, CJIS clearance)</t>
  </si>
  <si>
    <t xml:space="preserve">EX-173</t>
  </si>
  <si>
    <t xml:space="preserve">Senior Software Engineer - CDP</t>
  </si>
  <si>
    <t xml:space="preserve">https://jobs.accel.com/companies/cloudera-2/jobs/84092771-senior-software-engineer-cdp</t>
  </si>
  <si>
    <t xml:space="preserve">closed (posted 2026-06-25, no longer accepting applications); years 4-7</t>
  </si>
  <si>
    <t xml:space="preserve">EX-174</t>
  </si>
  <si>
    <t xml:space="preserve">Tech Lead - Backend</t>
  </si>
  <si>
    <t xml:space="preserve">https://jobs.accel.com/companies/rupeek-2/jobs/91401278-tech-lead-backend</t>
  </si>
  <si>
    <t xml:space="preserve">years 6-8 (bounded range below Om s 12); apply link is LinkedIn</t>
  </si>
  <si>
    <t xml:space="preserve">EX-175</t>
  </si>
  <si>
    <t xml:space="preserve">Platform Engineer - Core Infrastructure</t>
  </si>
  <si>
    <t xml:space="preserve">https://jobs.accel.com/companies/100ms-2/jobs/76571357-platform-engineer-core-infrastructure</t>
  </si>
  <si>
    <t xml:space="preserve">closed (posted 2026-04-28, no longer accepting applications); DevOps duties</t>
  </si>
  <si>
    <t xml:space="preserve">EX-176</t>
  </si>
  <si>
    <t xml:space="preserve">Software Engineer (Backend Engineer) - Bengaluru</t>
  </si>
  <si>
    <t xml:space="preserve">https://jobs.accel.com/companies/vmware-workspace-one-2/jobs/91295835-software-engineer-backend-engineer-bengaluru</t>
  </si>
  <si>
    <t xml:space="preserve">years 2-10 (range ends below Om s 12, no level given); DevOps and PostgreSQL operations share</t>
  </si>
  <si>
    <t xml:space="preserve">EX-177</t>
  </si>
  <si>
    <t xml:space="preserve">Sr. Engineer - Data &amp; ML Platform (Hybrid, IND)</t>
  </si>
  <si>
    <t xml:space="preserve">https://jobs.accel.com/companies/crowdstrike/jobs/67107380-sr-engineer-data-ml-platform-hybrid-ind</t>
  </si>
  <si>
    <t xml:space="preserve">older than 3 months (posted 6+ months ago); ML platform with 3+ years ML in production required</t>
  </si>
  <si>
    <t xml:space="preserve">EX-178</t>
  </si>
  <si>
    <t xml:space="preserve">Sr Staff Software Engineer - Go, Kubernetes platform Engineering (JB0075461)</t>
  </si>
  <si>
    <t xml:space="preserve">years 14+, above Om s 12; Go operators and admission controllers required (lane c signal)</t>
  </si>
  <si>
    <t xml:space="preserve">EX-179</t>
  </si>
  <si>
    <t xml:space="preserve">Sr Staff Software Engineer (744000151591885)</t>
  </si>
  <si>
    <t xml:space="preserve">https://careers.servicenow.com/jobs/744000151591885/sr-staff-software-engineer/</t>
  </si>
  <si>
    <t xml:space="preserve">EX-180</t>
  </si>
  <si>
    <t xml:space="preserve">Staff Software Engineer - Infrastructure, Kubernetes (744000148742379)</t>
  </si>
  <si>
    <t xml:space="preserve">https://careers.servicenow.com/jobs/744000148742379/staff-software-engineer-infrastructure-kubernetes/</t>
  </si>
  <si>
    <t xml:space="preserve">EX-181</t>
  </si>
  <si>
    <t xml:space="preserve">Senior Staff Software Engineer (100061784240)</t>
  </si>
  <si>
    <t xml:space="preserve">https://jobs.intuit.com/job/bengaluru/senior-staff-software-engineer/27595/100061784240</t>
  </si>
  <si>
    <t xml:space="preserve">EX-182</t>
  </si>
  <si>
    <t xml:space="preserve">Lead Engineer Managed Containers - Target India</t>
  </si>
  <si>
    <t xml:space="preserve">https://corporate.target.com/jobs/w31/84/lead-engineer-managed-containers-target-india</t>
  </si>
  <si>
    <t xml:space="preserve">Java or Kotlin required (Go only a plus)</t>
  </si>
  <si>
    <t xml:space="preserve">EX-183</t>
  </si>
  <si>
    <t xml:space="preserve">Lead Engineer - Cloud Enablement</t>
  </si>
  <si>
    <t xml:space="preserve">https://corporate.target.com/jobs/w10/31/lead-engineer-cloud-enablement</t>
  </si>
  <si>
    <t xml:space="preserve">EX-184</t>
  </si>
  <si>
    <t xml:space="preserve">Sr. Software Development Engineer (5202460007)</t>
  </si>
  <si>
    <t xml:space="preserve">https://job-boards.greenhouse.io/zscaler/jobs/5202460007</t>
  </si>
  <si>
    <t xml:space="preserve">years 3-4 (bounded range below Om s 12)</t>
  </si>
  <si>
    <t xml:space="preserve">EX-185</t>
  </si>
  <si>
    <t xml:space="preserve">Staff Software Development Engineer (AI Security, full stack)</t>
  </si>
  <si>
    <t xml:space="preserve">https://job-boards.greenhouse.io/zscaler/jobs/5181721007</t>
  </si>
  <si>
    <t xml:space="preserve">Java and JavaScript or TypeScript required (Spring Boot, React)</t>
  </si>
  <si>
    <t xml:space="preserve">EX-186</t>
  </si>
  <si>
    <t xml:space="preserve">Senior Software Engineer - Data Platform (7601580002)</t>
  </si>
  <si>
    <t xml:space="preserve">https://www.databricks.com/company/careers/engineering---pipeline/senior-software-engineer---data-platform-7601580002</t>
  </si>
  <si>
    <t xml:space="preserve">EX-187</t>
  </si>
  <si>
    <t xml:space="preserve">Staff Software Engineer, API Platform</t>
  </si>
  <si>
    <t xml:space="preserve">https://stripe.com/careers/listing/staff-software-engineer-api-platform/8055701</t>
  </si>
  <si>
    <t xml:space="preserve">not India (Seattle and South San Francisco)</t>
  </si>
  <si>
    <t xml:space="preserve">EX-188</t>
  </si>
  <si>
    <t xml:space="preserve">Staff Software Development Engineer - Golang (4909757007)</t>
  </si>
  <si>
    <t xml:space="preserve">https://job-boards.greenhouse.io/zscaler/jobs/4909757007</t>
  </si>
  <si>
    <t xml:space="preserve">EX-189</t>
  </si>
  <si>
    <t xml:space="preserve">Senior Staff Software Development Engineer (4914594007)</t>
  </si>
  <si>
    <t xml:space="preserve">https://job-boards.greenhouse.io/zscaler/jobs/4914594007</t>
  </si>
  <si>
    <t xml:space="preserve">EX-190</t>
  </si>
  <si>
    <t xml:space="preserve">Member of Technical Staff - Golang / Java (7400479)</t>
  </si>
  <si>
    <t xml:space="preserve">https://job-boards.greenhouse.io/purestorage/jobs/7400479</t>
  </si>
  <si>
    <t xml:space="preserve">EX-191</t>
  </si>
  <si>
    <t xml:space="preserve">Member of Technical Staff (FlashArray)</t>
  </si>
  <si>
    <t xml:space="preserve">https://job-boards.greenhouse.io/purestorage/jobs/8169086</t>
  </si>
  <si>
    <t xml:space="preserve">junior for Om (3+ years, no level); storage systems software (C/C++ domain)</t>
  </si>
  <si>
    <t xml:space="preserve">EX-192</t>
  </si>
  <si>
    <t xml:space="preserve">not India (Remote US); Kubernetes with Helm and Terraform required noted</t>
  </si>
  <si>
    <t xml:space="preserve">EX-193</t>
  </si>
  <si>
    <t xml:space="preserve">Staff, Software Engineer (L4) (8015738)</t>
  </si>
  <si>
    <t xml:space="preserve">https://job-boards.greenhouse.io/twilio/jobs/8015738</t>
  </si>
  <si>
    <t xml:space="preserve">EX-194</t>
  </si>
  <si>
    <t xml:space="preserve">Senior Engineer - C++ (5347807008)</t>
  </si>
  <si>
    <t xml:space="preserve">https://job-boards.greenhouse.io/commvault/jobs/5347807008</t>
  </si>
  <si>
    <t xml:space="preserve">C++ required</t>
  </si>
  <si>
    <t xml:space="preserve">EX-195</t>
  </si>
  <si>
    <t xml:space="preserve">Principal Software Engineer (Windows guests on KVM)</t>
  </si>
  <si>
    <t xml:space="preserve">https://www.dreamworkhq.com/job/0dd5b006-9a2a-4162-a8c2-58242d73c9e0</t>
  </si>
  <si>
    <t xml:space="preserve">C and C++ required (Windows kernel drivers)</t>
  </si>
  <si>
    <t xml:space="preserve">EX-196</t>
  </si>
  <si>
    <t xml:space="preserve">Principal Software Engineer (b06b2812)</t>
  </si>
  <si>
    <t xml:space="preserve">https://www.dreamworkhq.com/job/b06b2812-bf7c-4461-bb51-c2b2161796f0</t>
  </si>
  <si>
    <t xml:space="preserve">EX-197</t>
  </si>
  <si>
    <t xml:space="preserve">Senior Software Engineer (4fd96585)</t>
  </si>
  <si>
    <t xml:space="preserve">https://www.dreamworkhq.com/job/4fd96585-fbcc-4832-8fa2-d40327be6dd5</t>
  </si>
  <si>
    <t xml:space="preserve">EX-198</t>
  </si>
  <si>
    <t xml:space="preserve">Staff Engineer - Platform Engineering</t>
  </si>
  <si>
    <t xml:space="preserve">https://jobs.lever.co/gohighlevel/af42dc00-d62d-40cb-8c4b-4a595a32dd2c</t>
  </si>
  <si>
    <t xml:space="preserve">EX-199</t>
  </si>
  <si>
    <t xml:space="preserve">Senior Software Engineer (India)</t>
  </si>
  <si>
    <t xml:space="preserve">https://job-boards.greenhouse.io/sezzle/jobs/7775223003</t>
  </si>
  <si>
    <t xml:space="preserve">EX-200</t>
  </si>
  <si>
    <t xml:space="preserve">Senior Backend Engineer</t>
  </si>
  <si>
    <t xml:space="preserve">https://job-boards.greenhouse.io/akuity/jobs/4240492009</t>
  </si>
  <si>
    <t xml:space="preserve">not India (remote, US time zones only); Go controllers or operators required noted</t>
  </si>
  <si>
    <t xml:space="preserve">EX-201</t>
  </si>
  <si>
    <t xml:space="preserve">Senior Backend Engineer (Python / Go)</t>
  </si>
  <si>
    <t xml:space="preserve">https://job-boards.greenhouse.io/rapidfortinc/jobs/4272902009</t>
  </si>
  <si>
    <t xml:space="preserve">not India-confirmed (remote with USD pay, no country named)</t>
  </si>
  <si>
    <t xml:space="preserve">EX-202</t>
  </si>
  <si>
    <t xml:space="preserve">Software Engineer (Container Fabric)</t>
  </si>
  <si>
    <t xml:space="preserve">https://www.dreamworkhq.com/job/422c49f4-8ddf-4013-aeda-1a4b47b65475</t>
  </si>
  <si>
    <t xml:space="preserve">junior for Om (MID level, 3-5 years) and SRE background required; Go operators required noted</t>
  </si>
  <si>
    <t xml:space="preserve">EX-203</t>
  </si>
  <si>
    <t xml:space="preserve">AI Platform Engineer</t>
  </si>
  <si>
    <t xml:space="preserve">https://www.dreamworkhq.com/job/b42d3b7a-7151-42f4-80e0-00ca96c185f5</t>
  </si>
  <si>
    <t xml:space="preserve">EX-204</t>
  </si>
  <si>
    <t xml:space="preserve">Sr. Software Engineer (4596481006)</t>
  </si>
  <si>
    <t xml:space="preserve">https://job-boards.greenhouse.io/yugabyte/jobs/4596481006</t>
  </si>
  <si>
    <t xml:space="preserve">G003</t>
  </si>
  <si>
    <t xml:space="preserve">EX-205</t>
  </si>
  <si>
    <t xml:space="preserve">Senior Infrastructure Engineer (DevTools)</t>
  </si>
  <si>
    <t xml:space="preserve">https://www.grab.careers/en/jobs/744000149229199/senior-infrastructure-engineer/</t>
  </si>
  <si>
    <t xml:space="preserve">DevOps and platform-operations duties (EKS, Terraform, CI runners); location conflict (listed Bangalore, text says onsite Petaling Jaya)</t>
  </si>
  <si>
    <t xml:space="preserve">EX-206</t>
  </si>
  <si>
    <t xml:space="preserve">Senior Software Engineer, Backend (Bangalore)</t>
  </si>
  <si>
    <t xml:space="preserve">https://www.dreamworkhq.com/job/fcdb9ddc-bc43-4c8c-8ef8-2e4218bf971c</t>
  </si>
  <si>
    <t xml:space="preserve">EX-207</t>
  </si>
  <si>
    <t xml:space="preserve">Senior Software Engineer - Grafana Search &amp; Storage</t>
  </si>
  <si>
    <t xml:space="preserve">https://job-boards.greenhouse.io/grafanalabs/jobs/6230155004</t>
  </si>
  <si>
    <t xml:space="preserve">not India (US and Canada remote only)</t>
  </si>
  <si>
    <t xml:space="preserve">G016</t>
  </si>
  <si>
    <t xml:space="preserve">EX-208</t>
  </si>
  <si>
    <t xml:space="preserve">Senior Software Engineer - Grafana Databases, Managed Services</t>
  </si>
  <si>
    <t xml:space="preserve">https://job-boards.greenhouse.io/grafanalabs/jobs/5989631004</t>
  </si>
  <si>
    <t xml:space="preserve">not India (UK time zones only); SRE duties</t>
  </si>
  <si>
    <t xml:space="preserve">EX-209</t>
  </si>
  <si>
    <t xml:space="preserve">Bengaluru job listing page</t>
  </si>
  <si>
    <t xml:space="preserve">https://careers.confluent.io/jobs/india-bengaluru-karnataka</t>
  </si>
  <si>
    <t xml:space="preserve">G001</t>
  </si>
  <si>
    <t xml:space="preserve">EX-210</t>
  </si>
  <si>
    <t xml:space="preserve">Sr Software Engineer (security, India)</t>
  </si>
  <si>
    <t xml:space="preserve">https://www.dreamworkhq.com/job/df86a9cc-f911-48d4-9844-866a1dbd0748</t>
  </si>
  <si>
    <t xml:space="preserve">security operations role (monitoring, vulnerability management, tooling); years 5-8</t>
  </si>
  <si>
    <t xml:space="preserve">EX-211</t>
  </si>
  <si>
    <t xml:space="preserve">Senior Software Engineer II (602ed76b)</t>
  </si>
  <si>
    <t xml:space="preserve">https://careers.confluent.io/jobs/job/602ed76b-f637-42c9-a520-1583ea432fec</t>
  </si>
  <si>
    <t xml:space="preserve">EX-212</t>
  </si>
  <si>
    <t xml:space="preserve">Senior Software Engineer (7390647)</t>
  </si>
  <si>
    <t xml:space="preserve">https://job-boards.greenhouse.io/hackerrank/jobs/7390647</t>
  </si>
  <si>
    <t xml:space="preserve">EX-213</t>
  </si>
  <si>
    <t xml:space="preserve">Senior Software Engineer (8038015002)</t>
  </si>
  <si>
    <t xml:space="preserve">https://job-boards.greenhouse.io/alphasense/jobs/8038015002</t>
  </si>
  <si>
    <t xml:space="preserve">EX-214</t>
  </si>
  <si>
    <t xml:space="preserve">Software Development Engineer III Data</t>
  </si>
  <si>
    <t xml:space="preserve">https://jobs.lever.co/meesho/7bb1de7e-8756-412b-8c71-0ba40863edc8</t>
  </si>
  <si>
    <t xml:space="preserve">years 5-8 (bounded range below Om s 12); data engineering pipelines (Spark, Flink) rather than platform software</t>
  </si>
  <si>
    <t xml:space="preserve">EX-215</t>
  </si>
  <si>
    <t xml:space="preserve">Senior Software Development Engineer (4651287005)</t>
  </si>
  <si>
    <t xml:space="preserve">https://job-boards.greenhouse.io/razorpaysoftwareprivatelimited/jobs/4651287005</t>
  </si>
  <si>
    <t xml:space="preserve">EX-216</t>
  </si>
  <si>
    <t xml:space="preserve">Senior DevOps Engineer (4656394005)</t>
  </si>
  <si>
    <t xml:space="preserve">https://job-boards.greenhouse.io/razorpaysoftwareprivatelimited/jobs/4656394005</t>
  </si>
  <si>
    <t xml:space="preserve">closed (the link opens the job index); DevOps role in any case</t>
  </si>
  <si>
    <t xml:space="preserve">EX-217</t>
  </si>
  <si>
    <t xml:space="preserve">Staff Software Engineer (Golang), Backup</t>
  </si>
  <si>
    <t xml:space="preserve">https://www.dreamworkhq.com/job/231f0e42-140d-4642-8bb6-422aeec08f8b</t>
  </si>
  <si>
    <t xml:space="preserve">SRE and DevOps experience required (8-12 years DevOps/SRE; on-call, IaC, CI/CD); custom controllers noted</t>
  </si>
  <si>
    <t xml:space="preserve">EX-218</t>
  </si>
  <si>
    <t xml:space="preserve">Staff Engineer, Platform R&amp;D (Luke)</t>
  </si>
  <si>
    <t xml:space="preserve">https://www.dreamworkhq.com/job/4178b843-83d9-40d6-822d-60a7cdf9ec92</t>
  </si>
  <si>
    <t xml:space="preserve">EX-219</t>
  </si>
  <si>
    <t xml:space="preserve">Staff Software Engineer (79d5f73a)</t>
  </si>
  <si>
    <t xml:space="preserve">https://www.dreamworkhq.com/job/79d5f73a-b8e2-4fd6-b0e8-a773cd083f82</t>
  </si>
  <si>
    <t xml:space="preserve">EX-220</t>
  </si>
  <si>
    <t xml:space="preserve">Senior Software Engineer - Backend</t>
  </si>
  <si>
    <t xml:space="preserve">https://jobs.lever.co/acceldata/9c037a7b-4d1a-4c97-a05c-7948072e13e1</t>
  </si>
  <si>
    <t xml:space="preserve">JVM language required (Java, Scala or Kotlin); years 4-8</t>
  </si>
  <si>
    <t xml:space="preserve">EX-221</t>
  </si>
  <si>
    <t xml:space="preserve">Senior Software Engineer - Backend (Travel)</t>
  </si>
  <si>
    <t xml:space="preserve">https://jobs.lever.co/paytm/105a0d9e-94e9-4026-9105-5bea558ab3d9</t>
  </si>
  <si>
    <t xml:space="preserve">Java required (Spring Boot); years 3-6</t>
  </si>
  <si>
    <t xml:space="preserve">EX-222</t>
  </si>
  <si>
    <t xml:space="preserve">Backend - Senior Software Engineer (Recharges and Utilities, Noida)</t>
  </si>
  <si>
    <t xml:space="preserve">https://jobs.lever.co/paytm/23534d2b-3e2e-4759-b498-0bb15b2fb995</t>
  </si>
  <si>
    <t xml:space="preserve">junior for Om (2-5 years, bounded); Go required</t>
  </si>
  <si>
    <t xml:space="preserve">EX-223</t>
  </si>
  <si>
    <t xml:space="preserve">Senior Technical Lead - Backend (Java &amp; Golang)</t>
  </si>
  <si>
    <t xml:space="preserve">https://jobs.lever.co/paytm/beaad2eb-7e5a-46a7-95fb-70e1e13f2308</t>
  </si>
  <si>
    <t xml:space="preserve">EX-224</t>
  </si>
  <si>
    <t xml:space="preserve">Backend - Technical Lead (75759b14)</t>
  </si>
  <si>
    <t xml:space="preserve">https://jobs.lever.co/paytm/75759b14-0962-417a-8ec3-c442ab7b92a1</t>
  </si>
  <si>
    <t xml:space="preserve">EX-225</t>
  </si>
  <si>
    <t xml:space="preserve">https://www.dreamworkhq.com/job/00eba21f-d891-4fc7-aec1-e99535da0f2b</t>
  </si>
  <si>
    <t xml:space="preserve">EX-226</t>
  </si>
  <si>
    <t xml:space="preserve">Principal Software Engineer</t>
  </si>
  <si>
    <t xml:space="preserve">https://www.dreamworkhq.com/job/822b30ec-7cae-4c11-b125-74c24a04f027</t>
  </si>
  <si>
    <t xml:space="preserve">go</t>
  </si>
  <si>
    <t xml:space="preserve">python</t>
  </si>
  <si>
    <t xml:space="preserve">kubernetes</t>
  </si>
  <si>
    <t xml:space="preserve">cloud</t>
  </si>
  <si>
    <t xml:space="preserve">aws_named</t>
  </si>
  <si>
    <t xml:space="preserve">prod_screen</t>
  </si>
  <si>
    <t xml:space="preserve">years_min</t>
  </si>
  <si>
    <t xml:space="preserve">band_risk</t>
  </si>
  <si>
    <t xml:space="preserve">product_backend</t>
  </si>
  <si>
    <t xml:space="preserve">age_evidence</t>
  </si>
  <si>
    <t xml:space="preserve">level_stretch</t>
  </si>
  <si>
    <t xml:space="preserve">source_web</t>
  </si>
  <si>
    <t xml:space="preserve">yes</t>
  </si>
  <si>
    <t xml:space="preserve">named only</t>
  </si>
  <si>
    <t xml:space="preserve">duties only</t>
  </si>
  <si>
    <t xml:space="preserve">allowed</t>
  </si>
  <si>
    <t xml:space="preserve">relative-weeks</t>
  </si>
  <si>
    <t xml:space="preserve">date</t>
  </si>
  <si>
    <t xml:space="preserve">updated-only</t>
  </si>
  <si>
    <t xml:space="preserve">indexed</t>
  </si>
</sst>
</file>

<file path=xl/styles.xml><?xml version="1.0" encoding="utf-8"?>
<styleSheet xmlns="http://schemas.openxmlformats.org/spreadsheetml/2006/main">
  <numFmts count="2">
    <numFmt numFmtId="164" formatCode="General"/>
    <numFmt numFmtId="165" formatCode="0.0%"/>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1"/>
      <name val="Arial"/>
      <family val="0"/>
      <charset val="1"/>
    </font>
    <font>
      <sz val="11"/>
      <color rgb="FF0000FF"/>
      <name val="Arial"/>
      <family val="0"/>
      <charset val="1"/>
    </font>
    <font>
      <sz val="10"/>
      <name val="Arial"/>
      <family val="2"/>
    </font>
  </fonts>
  <fills count="3">
    <fill>
      <patternFill patternType="none"/>
    </fill>
    <fill>
      <patternFill patternType="gray125"/>
    </fill>
    <fill>
      <patternFill patternType="solid">
        <fgColor rgb="FFDDE7F0"/>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7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6" min="2" style="0" width="14"/>
    <col collapsed="false" customWidth="true" hidden="false" outlineLevel="0" max="7" min="7" style="0" width="7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c r="B3" s="3" t="n">
        <v>1.96</v>
      </c>
      <c r="G3" s="2" t="s">
        <v>3</v>
      </c>
    </row>
    <row r="5" customFormat="false" ht="15" hidden="false" customHeight="false" outlineLevel="0" collapsed="false">
      <c r="A5" s="1" t="s">
        <v>4</v>
      </c>
      <c r="B5" s="1" t="s">
        <v>5</v>
      </c>
      <c r="C5" s="1" t="s">
        <v>6</v>
      </c>
      <c r="D5" s="1" t="s">
        <v>7</v>
      </c>
      <c r="E5" s="1" t="s">
        <v>8</v>
      </c>
      <c r="F5" s="1" t="s">
        <v>9</v>
      </c>
      <c r="G5" s="1" t="s">
        <v>10</v>
      </c>
    </row>
    <row r="6" customFormat="false" ht="15" hidden="false" customHeight="false" outlineLevel="0" collapsed="false">
      <c r="A6" s="2" t="s">
        <v>11</v>
      </c>
      <c r="B6" s="2" t="n">
        <f aca="false">COUNTA(JDs!A2:A71)</f>
        <v>70</v>
      </c>
      <c r="G6" s="2" t="s">
        <v>12</v>
      </c>
    </row>
    <row r="7" customFormat="false" ht="15" hidden="false" customHeight="false" outlineLevel="0" collapsed="false">
      <c r="A7" s="2" t="s">
        <v>13</v>
      </c>
      <c r="B7" s="2" t="n">
        <f aca="false">COUNTA(Excluded!A2:A227)</f>
        <v>226</v>
      </c>
      <c r="G7" s="2" t="s">
        <v>14</v>
      </c>
    </row>
    <row r="8" customFormat="false" ht="15" hidden="false" customHeight="false" outlineLevel="0" collapsed="false">
      <c r="A8" s="2" t="s">
        <v>15</v>
      </c>
      <c r="B8" s="2" t="n">
        <f aca="false">COUNTIF(JDs!V2:V71,"a")</f>
        <v>27</v>
      </c>
      <c r="C8" s="2" t="n">
        <f aca="false">$B$6</f>
        <v>70</v>
      </c>
      <c r="D8" s="4" t="n">
        <f aca="false">IF(C8=0,0,B8/C8)</f>
        <v>0.385714285714286</v>
      </c>
      <c r="E8" s="4" t="n">
        <f aca="false">IF(C8=0,0,(D8+$B$3^2/(2*C8)-$B$3*SQRT(D8*(1-D8)/C8+$B$3^2/(4*C8^2)))/(1+$B$3^2/C8))</f>
        <v>0.280475177854542</v>
      </c>
      <c r="F8" s="4" t="n">
        <f aca="false">IF(C8=0,0,(D8+$B$3^2/(2*C8)+$B$3*SQRT(D8*(1-D8)/C8+$B$3^2/(4*C8^2)))/(1+$B$3^2/C8))</f>
        <v>0.502844793543695</v>
      </c>
      <c r="G8" s="2" t="s">
        <v>16</v>
      </c>
    </row>
    <row r="9" customFormat="false" ht="15" hidden="false" customHeight="false" outlineLevel="0" collapsed="false">
      <c r="A9" s="2" t="s">
        <v>17</v>
      </c>
      <c r="B9" s="2" t="n">
        <f aca="false">COUNTIF(JDs!V2:V71,"b")</f>
        <v>30</v>
      </c>
      <c r="C9" s="2" t="n">
        <f aca="false">$B$6</f>
        <v>70</v>
      </c>
      <c r="D9" s="4" t="n">
        <f aca="false">IF(C9=0,0,B9/C9)</f>
        <v>0.428571428571429</v>
      </c>
      <c r="E9" s="4" t="n">
        <f aca="false">IF(C9=0,0,(D9+$B$3^2/(2*C9)-$B$3*SQRT(D9*(1-D9)/C9+$B$3^2/(4*C9^2)))/(1+$B$3^2/C9))</f>
        <v>0.319351248862125</v>
      </c>
      <c r="F9" s="4" t="n">
        <f aca="false">IF(C9=0,0,(D9+$B$3^2/(2*C9)+$B$3*SQRT(D9*(1-D9)/C9+$B$3^2/(4*C9^2)))/(1+$B$3^2/C9))</f>
        <v>0.545223733261772</v>
      </c>
      <c r="G9" s="2" t="s">
        <v>16</v>
      </c>
    </row>
    <row r="10" customFormat="false" ht="15" hidden="false" customHeight="false" outlineLevel="0" collapsed="false">
      <c r="A10" s="2" t="s">
        <v>18</v>
      </c>
      <c r="B10" s="2" t="n">
        <f aca="false">COUNTIF(JDs!V2:V71,"c")</f>
        <v>7</v>
      </c>
      <c r="C10" s="2" t="n">
        <f aca="false">$B$6</f>
        <v>70</v>
      </c>
      <c r="D10" s="4" t="n">
        <f aca="false">IF(C10=0,0,B10/C10)</f>
        <v>0.1</v>
      </c>
      <c r="E10" s="4" t="n">
        <f aca="false">IF(C10=0,0,(D10+$B$3^2/(2*C10)-$B$3*SQRT(D10*(1-D10)/C10+$B$3^2/(4*C10^2)))/(1+$B$3^2/C10))</f>
        <v>0.0492886751061462</v>
      </c>
      <c r="F10" s="4" t="n">
        <f aca="false">IF(C10=0,0,(D10+$B$3^2/(2*C10)+$B$3*SQRT(D10*(1-D10)/C10+$B$3^2/(4*C10^2)))/(1+$B$3^2/C10))</f>
        <v>0.192331224787681</v>
      </c>
      <c r="G10" s="2" t="s">
        <v>16</v>
      </c>
    </row>
    <row r="11" customFormat="false" ht="15" hidden="false" customHeight="false" outlineLevel="0" collapsed="false">
      <c r="A11" s="2" t="s">
        <v>19</v>
      </c>
      <c r="B11" s="2" t="n">
        <f aca="false">COUNTIF(JDs!V2:V71,"d")</f>
        <v>6</v>
      </c>
      <c r="C11" s="2" t="n">
        <f aca="false">$B$6</f>
        <v>70</v>
      </c>
      <c r="D11" s="4" t="n">
        <f aca="false">IF(C11=0,0,B11/C11)</f>
        <v>0.0857142857142857</v>
      </c>
      <c r="E11" s="4" t="n">
        <f aca="false">IF(C11=0,0,(D11+$B$3^2/(2*C11)-$B$3*SQRT(D11*(1-D11)/C11+$B$3^2/(4*C11^2)))/(1+$B$3^2/C11))</f>
        <v>0.0398761265403284</v>
      </c>
      <c r="F11" s="4" t="n">
        <f aca="false">IF(C11=0,0,(D11+$B$3^2/(2*C11)+$B$3*SQRT(D11*(1-D11)/C11+$B$3^2/(4*C11^2)))/(1+$B$3^2/C11))</f>
        <v>0.174658769778278</v>
      </c>
      <c r="G11" s="2" t="s">
        <v>16</v>
      </c>
    </row>
    <row r="12" customFormat="false" ht="15" hidden="false" customHeight="false" outlineLevel="0" collapsed="false">
      <c r="A12" s="2" t="s">
        <v>20</v>
      </c>
      <c r="B12" s="2" t="n">
        <f aca="false">COUNTIF(Coding!E2:E71,"required")</f>
        <v>19</v>
      </c>
      <c r="C12" s="2" t="n">
        <f aca="false">$B$6</f>
        <v>70</v>
      </c>
      <c r="D12" s="4" t="n">
        <f aca="false">IF(C12=0,0,B12/C12)</f>
        <v>0.271428571428571</v>
      </c>
      <c r="E12" s="4" t="n">
        <f aca="false">IF(C12=0,0,(D12+$B$3^2/(2*C12)-$B$3*SQRT(D12*(1-D12)/C12+$B$3^2/(4*C12^2)))/(1+$B$3^2/C12))</f>
        <v>0.181194608087848</v>
      </c>
      <c r="F12" s="4" t="n">
        <f aca="false">IF(C12=0,0,(D12+$B$3^2/(2*C12)+$B$3*SQRT(D12*(1-D12)/C12+$B$3^2/(4*C12^2)))/(1+$B$3^2/C12))</f>
        <v>0.385445334708625</v>
      </c>
      <c r="G12" s="2" t="s">
        <v>21</v>
      </c>
    </row>
    <row r="13" customFormat="false" ht="15" hidden="false" customHeight="false" outlineLevel="0" collapsed="false">
      <c r="A13" s="2" t="s">
        <v>22</v>
      </c>
      <c r="B13" s="2" t="n">
        <f aca="false">COUNTIF(Coding!E2:E71,"required")+COUNTIF(Coding!E2:E71,"allowed")</f>
        <v>51</v>
      </c>
      <c r="C13" s="2" t="n">
        <f aca="false">$B$6</f>
        <v>70</v>
      </c>
      <c r="D13" s="4" t="n">
        <f aca="false">IF(C13=0,0,B13/C13)</f>
        <v>0.728571428571429</v>
      </c>
      <c r="E13" s="4" t="n">
        <f aca="false">IF(C13=0,0,(D13+$B$3^2/(2*C13)-$B$3*SQRT(D13*(1-D13)/C13+$B$3^2/(4*C13^2)))/(1+$B$3^2/C13))</f>
        <v>0.614554665291375</v>
      </c>
      <c r="F13" s="4" t="n">
        <f aca="false">IF(C13=0,0,(D13+$B$3^2/(2*C13)+$B$3*SQRT(D13*(1-D13)/C13+$B$3^2/(4*C13^2)))/(1+$B$3^2/C13))</f>
        <v>0.818805391912152</v>
      </c>
      <c r="G13" s="2" t="s">
        <v>23</v>
      </c>
    </row>
    <row r="14" customFormat="false" ht="15" hidden="false" customHeight="false" outlineLevel="0" collapsed="false">
      <c r="A14" s="2" t="s">
        <v>24</v>
      </c>
      <c r="B14" s="2" t="n">
        <f aca="false">COUNTIF(Coding!E2:E71,"&lt;&gt;none")</f>
        <v>56</v>
      </c>
      <c r="C14" s="2" t="n">
        <f aca="false">$B$6</f>
        <v>70</v>
      </c>
      <c r="D14" s="4" t="n">
        <f aca="false">IF(C14=0,0,B14/C14)</f>
        <v>0.8</v>
      </c>
      <c r="E14" s="4" t="n">
        <f aca="false">IF(C14=0,0,(D14+$B$3^2/(2*C14)-$B$3*SQRT(D14*(1-D14)/C14+$B$3^2/(4*C14^2)))/(1+$B$3^2/C14))</f>
        <v>0.691831353109129</v>
      </c>
      <c r="F14" s="4" t="n">
        <f aca="false">IF(C14=0,0,(D14+$B$3^2/(2*C14)+$B$3*SQRT(D14*(1-D14)/C14+$B$3^2/(4*C14^2)))/(1+$B$3^2/C14))</f>
        <v>0.876953721970501</v>
      </c>
      <c r="G14" s="2"/>
    </row>
    <row r="15" customFormat="false" ht="15" hidden="false" customHeight="false" outlineLevel="0" collapsed="false">
      <c r="A15" s="2" t="s">
        <v>25</v>
      </c>
      <c r="B15" s="2" t="n">
        <f aca="false">COUNTIF(Coding!F2:F71,"required")</f>
        <v>5</v>
      </c>
      <c r="C15" s="2" t="n">
        <f aca="false">$B$6</f>
        <v>70</v>
      </c>
      <c r="D15" s="4" t="n">
        <f aca="false">IF(C15=0,0,B15/C15)</f>
        <v>0.0714285714285714</v>
      </c>
      <c r="E15" s="4" t="n">
        <f aca="false">IF(C15=0,0,(D15+$B$3^2/(2*C15)-$B$3*SQRT(D15*(1-D15)/C15+$B$3^2/(4*C15^2)))/(1+$B$3^2/C15))</f>
        <v>0.0308937615102935</v>
      </c>
      <c r="F15" s="4" t="n">
        <f aca="false">IF(C15=0,0,(D15+$B$3^2/(2*C15)+$B$3*SQRT(D15*(1-D15)/C15+$B$3^2/(4*C15^2)))/(1+$B$3^2/C15))</f>
        <v>0.156556131233092</v>
      </c>
      <c r="G15" s="2" t="s">
        <v>21</v>
      </c>
    </row>
    <row r="16" customFormat="false" ht="15" hidden="false" customHeight="false" outlineLevel="0" collapsed="false">
      <c r="A16" s="2" t="s">
        <v>26</v>
      </c>
      <c r="B16" s="2" t="n">
        <f aca="false">COUNTIF(Coding!F2:F71,"required")+COUNTIF(Coding!F2:F71,"allowed")</f>
        <v>34</v>
      </c>
      <c r="C16" s="2" t="n">
        <f aca="false">$B$6</f>
        <v>70</v>
      </c>
      <c r="D16" s="4" t="n">
        <f aca="false">IF(C16=0,0,B16/C16)</f>
        <v>0.485714285714286</v>
      </c>
      <c r="E16" s="4" t="n">
        <f aca="false">IF(C16=0,0,(D16+$B$3^2/(2*C16)-$B$3*SQRT(D16*(1-D16)/C16+$B$3^2/(4*C16^2)))/(1+$B$3^2/C16))</f>
        <v>0.372456823827381</v>
      </c>
      <c r="F16" s="4" t="n">
        <f aca="false">IF(C16=0,0,(D16+$B$3^2/(2*C16)+$B$3*SQRT(D16*(1-D16)/C16+$B$3^2/(4*C16^2)))/(1+$B$3^2/C16))</f>
        <v>0.600458172597398</v>
      </c>
      <c r="G16" s="2" t="s">
        <v>27</v>
      </c>
    </row>
    <row r="17" customFormat="false" ht="15" hidden="false" customHeight="false" outlineLevel="0" collapsed="false">
      <c r="A17" s="2" t="s">
        <v>28</v>
      </c>
      <c r="B17" s="2" t="n">
        <f aca="false">COUNTIF(Coding!F2:F71,"&lt;&gt;none")</f>
        <v>44</v>
      </c>
      <c r="C17" s="2" t="n">
        <f aca="false">$B$6</f>
        <v>70</v>
      </c>
      <c r="D17" s="4" t="n">
        <f aca="false">IF(C17=0,0,B17/C17)</f>
        <v>0.628571428571429</v>
      </c>
      <c r="E17" s="4" t="n">
        <f aca="false">IF(C17=0,0,(D17+$B$3^2/(2*C17)-$B$3*SQRT(D17*(1-D17)/C17+$B$3^2/(4*C17^2)))/(1+$B$3^2/C17))</f>
        <v>0.511469848185281</v>
      </c>
      <c r="F17" s="4" t="n">
        <f aca="false">IF(C17=0,0,(D17+$B$3^2/(2*C17)+$B$3*SQRT(D17*(1-D17)/C17+$B$3^2/(4*C17^2)))/(1+$B$3^2/C17))</f>
        <v>0.732295183991704</v>
      </c>
      <c r="G17" s="2"/>
    </row>
    <row r="18" customFormat="false" ht="15" hidden="false" customHeight="false" outlineLevel="0" collapsed="false">
      <c r="A18" s="2" t="s">
        <v>29</v>
      </c>
      <c r="B18" s="2" t="n">
        <f aca="false">COUNTIF(Coding!G2:G71,"required")</f>
        <v>39</v>
      </c>
      <c r="C18" s="2" t="n">
        <f aca="false">$B$6</f>
        <v>70</v>
      </c>
      <c r="D18" s="4" t="n">
        <f aca="false">IF(C18=0,0,B18/C18)</f>
        <v>0.557142857142857</v>
      </c>
      <c r="E18" s="4" t="n">
        <f aca="false">IF(C18=0,0,(D18+$B$3^2/(2*C18)-$B$3*SQRT(D18*(1-D18)/C18+$B$3^2/(4*C18^2)))/(1+$B$3^2/C18))</f>
        <v>0.440833431361888</v>
      </c>
      <c r="F18" s="4" t="n">
        <f aca="false">IF(C18=0,0,(D18+$B$3^2/(2*C18)+$B$3*SQRT(D18*(1-D18)/C18+$B$3^2/(4*C18^2)))/(1+$B$3^2/C18))</f>
        <v>0.667506582938994</v>
      </c>
      <c r="G18" s="2" t="s">
        <v>30</v>
      </c>
    </row>
    <row r="19" customFormat="false" ht="15" hidden="false" customHeight="false" outlineLevel="0" collapsed="false">
      <c r="A19" s="2" t="s">
        <v>31</v>
      </c>
      <c r="B19" s="2" t="n">
        <f aca="false">COUNTIF(Coding!G2:G71,"required")+COUNTIF(Coding!G2:G71,"preferred")</f>
        <v>52</v>
      </c>
      <c r="C19" s="2" t="n">
        <f aca="false">$B$6</f>
        <v>70</v>
      </c>
      <c r="D19" s="4" t="n">
        <f aca="false">IF(C19=0,0,B19/C19)</f>
        <v>0.742857142857143</v>
      </c>
      <c r="E19" s="4" t="n">
        <f aca="false">IF(C19=0,0,(D19+$B$3^2/(2*C19)-$B$3*SQRT(D19*(1-D19)/C19+$B$3^2/(4*C19^2)))/(1+$B$3^2/C19))</f>
        <v>0.629736480292846</v>
      </c>
      <c r="F19" s="4" t="n">
        <f aca="false">IF(C19=0,0,(D19+$B$3^2/(2*C19)+$B$3*SQRT(D19*(1-D19)/C19+$B$3^2/(4*C19^2)))/(1+$B$3^2/C19))</f>
        <v>0.830708580485902</v>
      </c>
      <c r="G19" s="2"/>
    </row>
    <row r="20" customFormat="false" ht="15" hidden="false" customHeight="false" outlineLevel="0" collapsed="false">
      <c r="A20" s="2" t="s">
        <v>32</v>
      </c>
      <c r="B20" s="2" t="n">
        <f aca="false">COUNTIF(JDs!AM2:AM71,"required")</f>
        <v>5</v>
      </c>
      <c r="C20" s="2" t="n">
        <f aca="false">$B$6</f>
        <v>70</v>
      </c>
      <c r="D20" s="4" t="n">
        <f aca="false">IF(C20=0,0,B20/C20)</f>
        <v>0.0714285714285714</v>
      </c>
      <c r="E20" s="4" t="n">
        <f aca="false">IF(C20=0,0,(D20+$B$3^2/(2*C20)-$B$3*SQRT(D20*(1-D20)/C20+$B$3^2/(4*C20^2)))/(1+$B$3^2/C20))</f>
        <v>0.0308937615102935</v>
      </c>
      <c r="F20" s="4" t="n">
        <f aca="false">IF(C20=0,0,(D20+$B$3^2/(2*C20)+$B$3*SQRT(D20*(1-D20)/C20+$B$3^2/(4*C20^2)))/(1+$B$3^2/C20))</f>
        <v>0.156556131233092</v>
      </c>
      <c r="G20" s="2" t="s">
        <v>33</v>
      </c>
    </row>
    <row r="21" customFormat="false" ht="15" hidden="false" customHeight="false" outlineLevel="0" collapsed="false">
      <c r="A21" s="2" t="s">
        <v>34</v>
      </c>
      <c r="B21" s="2" t="n">
        <f aca="false">COUNTIF(JDs!AM2:AM71,"required")+COUNTIF(JDs!AM2:AM71,"preferred")</f>
        <v>9</v>
      </c>
      <c r="C21" s="2" t="n">
        <f aca="false">$B$6</f>
        <v>70</v>
      </c>
      <c r="D21" s="4" t="n">
        <f aca="false">IF(C21=0,0,B21/C21)</f>
        <v>0.128571428571429</v>
      </c>
      <c r="E21" s="4" t="n">
        <f aca="false">IF(C21=0,0,(D21+$B$3^2/(2*C21)-$B$3*SQRT(D21*(1-D21)/C21+$B$3^2/(4*C21^2)))/(1+$B$3^2/C21))</f>
        <v>0.0691402199124226</v>
      </c>
      <c r="F21" s="4" t="n">
        <f aca="false">IF(C21=0,0,(D21+$B$3^2/(2*C21)+$B$3*SQRT(D21*(1-D21)/C21+$B$3^2/(4*C21^2)))/(1+$B$3^2/C21))</f>
        <v>0.226649687131845</v>
      </c>
      <c r="G21" s="2"/>
    </row>
    <row r="22" customFormat="false" ht="15" hidden="false" customHeight="false" outlineLevel="0" collapsed="false">
      <c r="A22" s="2" t="s">
        <v>35</v>
      </c>
      <c r="B22" s="2" t="n">
        <f aca="false">COUNTIF(JDs!AJ2:AJ71,"required")</f>
        <v>6</v>
      </c>
      <c r="C22" s="2" t="n">
        <f aca="false">$B$6</f>
        <v>70</v>
      </c>
      <c r="D22" s="4" t="n">
        <f aca="false">IF(C22=0,0,B22/C22)</f>
        <v>0.0857142857142857</v>
      </c>
      <c r="E22" s="4" t="n">
        <f aca="false">IF(C22=0,0,(D22+$B$3^2/(2*C22)-$B$3*SQRT(D22*(1-D22)/C22+$B$3^2/(4*C22^2)))/(1+$B$3^2/C22))</f>
        <v>0.0398761265403284</v>
      </c>
      <c r="F22" s="4" t="n">
        <f aca="false">IF(C22=0,0,(D22+$B$3^2/(2*C22)+$B$3*SQRT(D22*(1-D22)/C22+$B$3^2/(4*C22^2)))/(1+$B$3^2/C22))</f>
        <v>0.174658769778278</v>
      </c>
      <c r="G22" s="2" t="s">
        <v>36</v>
      </c>
    </row>
    <row r="23" customFormat="false" ht="15" hidden="false" customHeight="false" outlineLevel="0" collapsed="false">
      <c r="A23" s="2" t="s">
        <v>37</v>
      </c>
      <c r="B23" s="2" t="n">
        <f aca="false">COUNTIF(JDs!AJ2:AJ71,"required")+COUNTIF(JDs!AJ2:AJ71,"preferred")</f>
        <v>8</v>
      </c>
      <c r="C23" s="2" t="n">
        <f aca="false">$B$6</f>
        <v>70</v>
      </c>
      <c r="D23" s="4" t="n">
        <f aca="false">IF(C23=0,0,B23/C23)</f>
        <v>0.114285714285714</v>
      </c>
      <c r="E23" s="4" t="n">
        <f aca="false">IF(C23=0,0,(D23+$B$3^2/(2*C23)-$B$3*SQRT(D23*(1-D23)/C23+$B$3^2/(4*C23^2)))/(1+$B$3^2/C23))</f>
        <v>0.0590605838670261</v>
      </c>
      <c r="F23" s="4" t="n">
        <f aca="false">IF(C23=0,0,(D23+$B$3^2/(2*C23)+$B$3*SQRT(D23*(1-D23)/C23+$B$3^2/(4*C23^2)))/(1+$B$3^2/C23))</f>
        <v>0.209644319602021</v>
      </c>
      <c r="G23" s="2" t="s">
        <v>38</v>
      </c>
    </row>
    <row r="24" customFormat="false" ht="15" hidden="false" customHeight="false" outlineLevel="0" collapsed="false">
      <c r="A24" s="2" t="s">
        <v>39</v>
      </c>
      <c r="B24" s="2" t="n">
        <f aca="false">COUNTIF(JDs!AL2:AL71,"required")</f>
        <v>8</v>
      </c>
      <c r="C24" s="2" t="n">
        <f aca="false">$B$6</f>
        <v>70</v>
      </c>
      <c r="D24" s="4" t="n">
        <f aca="false">IF(C24=0,0,B24/C24)</f>
        <v>0.114285714285714</v>
      </c>
      <c r="E24" s="4" t="n">
        <f aca="false">IF(C24=0,0,(D24+$B$3^2/(2*C24)-$B$3*SQRT(D24*(1-D24)/C24+$B$3^2/(4*C24^2)))/(1+$B$3^2/C24))</f>
        <v>0.0590605838670261</v>
      </c>
      <c r="F24" s="4" t="n">
        <f aca="false">IF(C24=0,0,(D24+$B$3^2/(2*C24)+$B$3*SQRT(D24*(1-D24)/C24+$B$3^2/(4*C24^2)))/(1+$B$3^2/C24))</f>
        <v>0.209644319602021</v>
      </c>
      <c r="G24" s="2" t="s">
        <v>40</v>
      </c>
    </row>
    <row r="25" customFormat="false" ht="15" hidden="false" customHeight="false" outlineLevel="0" collapsed="false">
      <c r="A25" s="2" t="s">
        <v>41</v>
      </c>
      <c r="B25" s="2" t="n">
        <f aca="false">COUNTIF(JDs!AL2:AL71,"required")+COUNTIF(JDs!AL2:AL71,"preferred")</f>
        <v>18</v>
      </c>
      <c r="C25" s="2" t="n">
        <f aca="false">$B$6</f>
        <v>70</v>
      </c>
      <c r="D25" s="4" t="n">
        <f aca="false">IF(C25=0,0,B25/C25)</f>
        <v>0.257142857142857</v>
      </c>
      <c r="E25" s="4" t="n">
        <f aca="false">IF(C25=0,0,(D25+$B$3^2/(2*C25)-$B$3*SQRT(D25*(1-D25)/C25+$B$3^2/(4*C25^2)))/(1+$B$3^2/C25))</f>
        <v>0.169291419514098</v>
      </c>
      <c r="F25" s="4" t="n">
        <f aca="false">IF(C25=0,0,(D25+$B$3^2/(2*C25)+$B$3*SQRT(D25*(1-D25)/C25+$B$3^2/(4*C25^2)))/(1+$B$3^2/C25))</f>
        <v>0.370263519707154</v>
      </c>
      <c r="G25" s="2"/>
    </row>
    <row r="26" customFormat="false" ht="15" hidden="false" customHeight="false" outlineLevel="0" collapsed="false">
      <c r="A26" s="2" t="s">
        <v>42</v>
      </c>
      <c r="B26" s="2" t="n">
        <f aca="false">COUNTIF(Coding!H2:H71,"required")</f>
        <v>26</v>
      </c>
      <c r="C26" s="2" t="n">
        <f aca="false">$B$6</f>
        <v>70</v>
      </c>
      <c r="D26" s="4" t="n">
        <f aca="false">IF(C26=0,0,B26/C26)</f>
        <v>0.371428571428571</v>
      </c>
      <c r="E26" s="4" t="n">
        <f aca="false">IF(C26=0,0,(D26+$B$3^2/(2*C26)-$B$3*SQRT(D26*(1-D26)/C26+$B$3^2/(4*C26^2)))/(1+$B$3^2/C26))</f>
        <v>0.267704816008296</v>
      </c>
      <c r="F26" s="4" t="n">
        <f aca="false">IF(C26=0,0,(D26+$B$3^2/(2*C26)+$B$3*SQRT(D26*(1-D26)/C26+$B$3^2/(4*C26^2)))/(1+$B$3^2/C26))</f>
        <v>0.488530151814719</v>
      </c>
      <c r="G26" s="2" t="s">
        <v>43</v>
      </c>
    </row>
    <row r="27" customFormat="false" ht="15" hidden="false" customHeight="false" outlineLevel="0" collapsed="false">
      <c r="A27" s="2" t="s">
        <v>44</v>
      </c>
      <c r="B27" s="2" t="n">
        <f aca="false">COUNTIF(Coding!H2:H71,"required")+COUNTIF(Coding!H2:H71,"preferred")</f>
        <v>36</v>
      </c>
      <c r="C27" s="2" t="n">
        <f aca="false">$B$6</f>
        <v>70</v>
      </c>
      <c r="D27" s="4" t="n">
        <f aca="false">IF(C27=0,0,B27/C27)</f>
        <v>0.514285714285714</v>
      </c>
      <c r="E27" s="4" t="n">
        <f aca="false">IF(C27=0,0,(D27+$B$3^2/(2*C27)-$B$3*SQRT(D27*(1-D27)/C27+$B$3^2/(4*C27^2)))/(1+$B$3^2/C27))</f>
        <v>0.399541827402602</v>
      </c>
      <c r="F27" s="4" t="n">
        <f aca="false">IF(C27=0,0,(D27+$B$3^2/(2*C27)+$B$3*SQRT(D27*(1-D27)/C27+$B$3^2/(4*C27^2)))/(1+$B$3^2/C27))</f>
        <v>0.627543176172619</v>
      </c>
      <c r="G27" s="2"/>
    </row>
    <row r="28" customFormat="false" ht="15" hidden="false" customHeight="false" outlineLevel="0" collapsed="false">
      <c r="A28" s="2" t="s">
        <v>45</v>
      </c>
      <c r="B28" s="2" t="n">
        <f aca="false">COUNTIF(Coding!I2:I71,"yes")</f>
        <v>39</v>
      </c>
      <c r="C28" s="2" t="n">
        <f aca="false">$B$6</f>
        <v>70</v>
      </c>
      <c r="D28" s="4" t="n">
        <f aca="false">IF(C28=0,0,B28/C28)</f>
        <v>0.557142857142857</v>
      </c>
      <c r="E28" s="4" t="n">
        <f aca="false">IF(C28=0,0,(D28+$B$3^2/(2*C28)-$B$3*SQRT(D28*(1-D28)/C28+$B$3^2/(4*C28^2)))/(1+$B$3^2/C28))</f>
        <v>0.440833431361888</v>
      </c>
      <c r="F28" s="4" t="n">
        <f aca="false">IF(C28=0,0,(D28+$B$3^2/(2*C28)+$B$3*SQRT(D28*(1-D28)/C28+$B$3^2/(4*C28^2)))/(1+$B$3^2/C28))</f>
        <v>0.667506582938994</v>
      </c>
      <c r="G28" s="2" t="s">
        <v>46</v>
      </c>
    </row>
    <row r="29" customFormat="false" ht="15" hidden="false" customHeight="false" outlineLevel="0" collapsed="false">
      <c r="A29" s="2" t="s">
        <v>47</v>
      </c>
      <c r="B29" s="2" t="n">
        <f aca="false">COUNTIF(Coding!J2:J71,"yes")</f>
        <v>60</v>
      </c>
      <c r="C29" s="2" t="n">
        <f aca="false">$B$6</f>
        <v>70</v>
      </c>
      <c r="D29" s="4" t="n">
        <f aca="false">IF(C29=0,0,B29/C29)</f>
        <v>0.857142857142857</v>
      </c>
      <c r="E29" s="4" t="n">
        <f aca="false">IF(C29=0,0,(D29+$B$3^2/(2*C29)-$B$3*SQRT(D29*(1-D29)/C29+$B$3^2/(4*C29^2)))/(1+$B$3^2/C29))</f>
        <v>0.756613652984949</v>
      </c>
      <c r="F29" s="4" t="n">
        <f aca="false">IF(C29=0,0,(D29+$B$3^2/(2*C29)+$B$3*SQRT(D29*(1-D29)/C29+$B$3^2/(4*C29^2)))/(1+$B$3^2/C29))</f>
        <v>0.920511436395563</v>
      </c>
      <c r="G29" s="2" t="s">
        <v>48</v>
      </c>
    </row>
    <row r="30" customFormat="false" ht="15" hidden="false" customHeight="false" outlineLevel="0" collapsed="false">
      <c r="A30" s="2" t="s">
        <v>49</v>
      </c>
      <c r="B30" s="2" t="n">
        <f aca="false">COUNTIF(JDs!AG2:AG71,"none")</f>
        <v>52</v>
      </c>
      <c r="C30" s="2" t="n">
        <f aca="false">$B$6</f>
        <v>70</v>
      </c>
      <c r="D30" s="4" t="n">
        <f aca="false">IF(C30=0,0,B30/C30)</f>
        <v>0.742857142857143</v>
      </c>
      <c r="E30" s="4" t="n">
        <f aca="false">IF(C30=0,0,(D30+$B$3^2/(2*C30)-$B$3*SQRT(D30*(1-D30)/C30+$B$3^2/(4*C30^2)))/(1+$B$3^2/C30))</f>
        <v>0.629736480292846</v>
      </c>
      <c r="F30" s="4" t="n">
        <f aca="false">IF(C30=0,0,(D30+$B$3^2/(2*C30)+$B$3*SQRT(D30*(1-D30)/C30+$B$3^2/(4*C30^2)))/(1+$B$3^2/C30))</f>
        <v>0.830708580485902</v>
      </c>
      <c r="G30" s="2"/>
    </row>
    <row r="31" customFormat="false" ht="15" hidden="false" customHeight="false" outlineLevel="0" collapsed="false">
      <c r="A31" s="2" t="s">
        <v>50</v>
      </c>
      <c r="B31" s="2" t="n">
        <f aca="false">COUNTIF(JDs!AG2:AG71,"app")</f>
        <v>14</v>
      </c>
      <c r="C31" s="2" t="n">
        <f aca="false">$B$6</f>
        <v>70</v>
      </c>
      <c r="D31" s="4" t="n">
        <f aca="false">IF(C31=0,0,B31/C31)</f>
        <v>0.2</v>
      </c>
      <c r="E31" s="4" t="n">
        <f aca="false">IF(C31=0,0,(D31+$B$3^2/(2*C31)-$B$3*SQRT(D31*(1-D31)/C31+$B$3^2/(4*C31^2)))/(1+$B$3^2/C31))</f>
        <v>0.123046278029499</v>
      </c>
      <c r="F31" s="4" t="n">
        <f aca="false">IF(C31=0,0,(D31+$B$3^2/(2*C31)+$B$3*SQRT(D31*(1-D31)/C31+$B$3^2/(4*C31^2)))/(1+$B$3^2/C31))</f>
        <v>0.308168646890871</v>
      </c>
      <c r="G31" s="2"/>
    </row>
    <row r="32" customFormat="false" ht="15" hidden="false" customHeight="false" outlineLevel="0" collapsed="false">
      <c r="A32" s="2" t="s">
        <v>51</v>
      </c>
      <c r="B32" s="2" t="n">
        <f aca="false">COUNTIF(JDs!AG2:AG71,"platform")</f>
        <v>4</v>
      </c>
      <c r="C32" s="2" t="n">
        <f aca="false">$B$6</f>
        <v>70</v>
      </c>
      <c r="D32" s="4" t="n">
        <f aca="false">IF(C32=0,0,B32/C32)</f>
        <v>0.0571428571428571</v>
      </c>
      <c r="E32" s="4" t="n">
        <f aca="false">IF(C32=0,0,(D32+$B$3^2/(2*C32)-$B$3*SQRT(D32*(1-D32)/C32+$B$3^2/(4*C32^2)))/(1+$B$3^2/C32))</f>
        <v>0.0224434158474102</v>
      </c>
      <c r="F32" s="4" t="n">
        <f aca="false">IF(C32=0,0,(D32+$B$3^2/(2*C32)+$B$3*SQRT(D32*(1-D32)/C32+$B$3^2/(4*C32^2)))/(1+$B$3^2/C32))</f>
        <v>0.137921473320755</v>
      </c>
      <c r="G32" s="2"/>
    </row>
    <row r="33" customFormat="false" ht="15" hidden="false" customHeight="false" outlineLevel="0" collapsed="false">
      <c r="A33" s="2" t="s">
        <v>52</v>
      </c>
      <c r="B33" s="2" t="n">
        <f aca="false">COUNTIF(JDs!AG2:AG71,"engine")</f>
        <v>0</v>
      </c>
      <c r="C33" s="2" t="n">
        <f aca="false">$B$6</f>
        <v>70</v>
      </c>
      <c r="D33" s="4" t="n">
        <f aca="false">IF(C33=0,0,B33/C33)</f>
        <v>0</v>
      </c>
      <c r="E33" s="4" t="n">
        <f aca="false">IF(C33=0,0,(D33+$B$3^2/(2*C33)-$B$3*SQRT(D33*(1-D33)/C33+$B$3^2/(4*C33^2)))/(1+$B$3^2/C33))</f>
        <v>0</v>
      </c>
      <c r="F33" s="4" t="n">
        <f aca="false">IF(C33=0,0,(D33+$B$3^2/(2*C33)+$B$3*SQRT(D33*(1-D33)/C33+$B$3^2/(4*C33^2)))/(1+$B$3^2/C33))</f>
        <v>0.0520248748672835</v>
      </c>
      <c r="G33" s="2"/>
    </row>
    <row r="34" customFormat="false" ht="15" hidden="false" customHeight="false" outlineLevel="0" collapsed="false">
      <c r="A34" s="2" t="s">
        <v>53</v>
      </c>
      <c r="B34" s="2" t="n">
        <f aca="false">COUNTIF(JDs!AI2:AI71,"required")</f>
        <v>14</v>
      </c>
      <c r="C34" s="2" t="n">
        <f aca="false">$B$6</f>
        <v>70</v>
      </c>
      <c r="D34" s="4" t="n">
        <f aca="false">IF(C34=0,0,B34/C34)</f>
        <v>0.2</v>
      </c>
      <c r="E34" s="4" t="n">
        <f aca="false">IF(C34=0,0,(D34+$B$3^2/(2*C34)-$B$3*SQRT(D34*(1-D34)/C34+$B$3^2/(4*C34^2)))/(1+$B$3^2/C34))</f>
        <v>0.123046278029499</v>
      </c>
      <c r="F34" s="4" t="n">
        <f aca="false">IF(C34=0,0,(D34+$B$3^2/(2*C34)+$B$3*SQRT(D34*(1-D34)/C34+$B$3^2/(4*C34^2)))/(1+$B$3^2/C34))</f>
        <v>0.308168646890871</v>
      </c>
      <c r="G34" s="2" t="s">
        <v>54</v>
      </c>
    </row>
    <row r="35" customFormat="false" ht="15" hidden="false" customHeight="false" outlineLevel="0" collapsed="false">
      <c r="A35" s="2" t="s">
        <v>55</v>
      </c>
      <c r="B35" s="2" t="n">
        <f aca="false">COUNTIF(JDs!AI2:AI71,"preferred")</f>
        <v>8</v>
      </c>
      <c r="C35" s="2" t="n">
        <f aca="false">$B$6</f>
        <v>70</v>
      </c>
      <c r="D35" s="4" t="n">
        <f aca="false">IF(C35=0,0,B35/C35)</f>
        <v>0.114285714285714</v>
      </c>
      <c r="E35" s="4" t="n">
        <f aca="false">IF(C35=0,0,(D35+$B$3^2/(2*C35)-$B$3*SQRT(D35*(1-D35)/C35+$B$3^2/(4*C35^2)))/(1+$B$3^2/C35))</f>
        <v>0.0590605838670261</v>
      </c>
      <c r="F35" s="4" t="n">
        <f aca="false">IF(C35=0,0,(D35+$B$3^2/(2*C35)+$B$3*SQRT(D35*(1-D35)/C35+$B$3^2/(4*C35^2)))/(1+$B$3^2/C35))</f>
        <v>0.209644319602021</v>
      </c>
      <c r="G35" s="2"/>
    </row>
    <row r="36" customFormat="false" ht="15" hidden="false" customHeight="false" outlineLevel="0" collapsed="false">
      <c r="A36" s="2" t="s">
        <v>56</v>
      </c>
      <c r="B36" s="2" t="n">
        <f aca="false">COUNTIF(Coding!M2:M71,"yes")</f>
        <v>12</v>
      </c>
      <c r="C36" s="2" t="n">
        <f aca="false">$B$6</f>
        <v>70</v>
      </c>
      <c r="D36" s="4" t="n">
        <f aca="false">IF(C36=0,0,B36/C36)</f>
        <v>0.171428571428571</v>
      </c>
      <c r="E36" s="4" t="n">
        <f aca="false">IF(C36=0,0,(D36+$B$3^2/(2*C36)-$B$3*SQRT(D36*(1-D36)/C36+$B$3^2/(4*C36^2)))/(1+$B$3^2/C36))</f>
        <v>0.100876257120105</v>
      </c>
      <c r="F36" s="4" t="n">
        <f aca="false">IF(C36=0,0,(D36+$B$3^2/(2*C36)+$B$3*SQRT(D36*(1-D36)/C36+$B$3^2/(4*C36^2)))/(1+$B$3^2/C36))</f>
        <v>0.276168660649824</v>
      </c>
      <c r="G36" s="2" t="s">
        <v>57</v>
      </c>
    </row>
    <row r="37" customFormat="false" ht="15" hidden="false" customHeight="false" outlineLevel="0" collapsed="false">
      <c r="A37" s="2" t="s">
        <v>58</v>
      </c>
      <c r="B37" s="2" t="n">
        <f aca="false">COUNTIF(Coding!N2:N71,"half")</f>
        <v>14</v>
      </c>
      <c r="C37" s="2" t="n">
        <f aca="false">$B$6</f>
        <v>70</v>
      </c>
      <c r="D37" s="4" t="n">
        <f aca="false">IF(C37=0,0,B37/C37)</f>
        <v>0.2</v>
      </c>
      <c r="E37" s="4" t="n">
        <f aca="false">IF(C37=0,0,(D37+$B$3^2/(2*C37)-$B$3*SQRT(D37*(1-D37)/C37+$B$3^2/(4*C37^2)))/(1+$B$3^2/C37))</f>
        <v>0.123046278029499</v>
      </c>
      <c r="F37" s="4" t="n">
        <f aca="false">IF(C37=0,0,(D37+$B$3^2/(2*C37)+$B$3*SQRT(D37*(1-D37)/C37+$B$3^2/(4*C37^2)))/(1+$B$3^2/C37))</f>
        <v>0.308168646890871</v>
      </c>
      <c r="G37" s="2"/>
    </row>
    <row r="38" customFormat="false" ht="15" hidden="false" customHeight="false" outlineLevel="0" collapsed="false">
      <c r="A38" s="2" t="s">
        <v>59</v>
      </c>
      <c r="B38" s="2" t="n">
        <f aca="false">COUNTIF(Coding!L2:L71,"yes")</f>
        <v>5</v>
      </c>
      <c r="C38" s="2" t="n">
        <f aca="false">$B$6</f>
        <v>70</v>
      </c>
      <c r="D38" s="4" t="n">
        <f aca="false">IF(C38=0,0,B38/C38)</f>
        <v>0.0714285714285714</v>
      </c>
      <c r="E38" s="4" t="n">
        <f aca="false">IF(C38=0,0,(D38+$B$3^2/(2*C38)-$B$3*SQRT(D38*(1-D38)/C38+$B$3^2/(4*C38^2)))/(1+$B$3^2/C38))</f>
        <v>0.0308937615102935</v>
      </c>
      <c r="F38" s="4" t="n">
        <f aca="false">IF(C38=0,0,(D38+$B$3^2/(2*C38)+$B$3*SQRT(D38*(1-D38)/C38+$B$3^2/(4*C38^2)))/(1+$B$3^2/C38))</f>
        <v>0.156556131233092</v>
      </c>
      <c r="G38" s="2" t="s">
        <v>60</v>
      </c>
    </row>
    <row r="39" customFormat="false" ht="15" hidden="false" customHeight="false" outlineLevel="0" collapsed="false">
      <c r="A39" s="2" t="s">
        <v>61</v>
      </c>
      <c r="B39" s="2" t="n">
        <f aca="false">COUNTIF(Coding!P2:P71,"yes")</f>
        <v>5</v>
      </c>
      <c r="C39" s="2" t="n">
        <f aca="false">$B$6</f>
        <v>70</v>
      </c>
      <c r="D39" s="4" t="n">
        <f aca="false">IF(C39=0,0,B39/C39)</f>
        <v>0.0714285714285714</v>
      </c>
      <c r="E39" s="4" t="n">
        <f aca="false">IF(C39=0,0,(D39+$B$3^2/(2*C39)-$B$3*SQRT(D39*(1-D39)/C39+$B$3^2/(4*C39^2)))/(1+$B$3^2/C39))</f>
        <v>0.0308937615102935</v>
      </c>
      <c r="F39" s="4" t="n">
        <f aca="false">IF(C39=0,0,(D39+$B$3^2/(2*C39)+$B$3*SQRT(D39*(1-D39)/C39+$B$3^2/(4*C39^2)))/(1+$B$3^2/C39))</f>
        <v>0.156556131233092</v>
      </c>
      <c r="G39" s="2"/>
    </row>
    <row r="40" customFormat="false" ht="15" hidden="false" customHeight="false" outlineLevel="0" collapsed="false">
      <c r="A40" s="2" t="s">
        <v>62</v>
      </c>
      <c r="B40" s="2" t="n">
        <f aca="false">COUNTIF(JDs!B2:B71,"web")</f>
        <v>11</v>
      </c>
      <c r="C40" s="2" t="n">
        <f aca="false">$B$6</f>
        <v>70</v>
      </c>
      <c r="D40" s="4" t="n">
        <f aca="false">IF(C40=0,0,B40/C40)</f>
        <v>0.157142857142857</v>
      </c>
      <c r="E40" s="4" t="n">
        <f aca="false">IF(C40=0,0,(D40+$B$3^2/(2*C40)-$B$3*SQRT(D40*(1-D40)/C40+$B$3^2/(4*C40^2)))/(1+$B$3^2/C40))</f>
        <v>0.0900752827598868</v>
      </c>
      <c r="F40" s="4" t="n">
        <f aca="false">IF(C40=0,0,(D40+$B$3^2/(2*C40)+$B$3*SQRT(D40*(1-D40)/C40+$B$3^2/(4*C40^2)))/(1+$B$3^2/C40))</f>
        <v>0.259884631434822</v>
      </c>
      <c r="G40" s="2" t="s">
        <v>63</v>
      </c>
    </row>
    <row r="41" customFormat="false" ht="15" hidden="false" customHeight="false" outlineLevel="0" collapsed="false">
      <c r="A41" s="2" t="s">
        <v>64</v>
      </c>
      <c r="B41" s="2" t="n">
        <f aca="false">COUNTIF(Coding!O2:O71,"date")</f>
        <v>15</v>
      </c>
      <c r="C41" s="2" t="n">
        <f aca="false">$B$6</f>
        <v>70</v>
      </c>
      <c r="D41" s="4" t="n">
        <f aca="false">IF(C41=0,0,B41/C41)</f>
        <v>0.214285714285714</v>
      </c>
      <c r="E41" s="4" t="n">
        <f aca="false">IF(C41=0,0,(D41+$B$3^2/(2*C41)-$B$3*SQRT(D41*(1-D41)/C41+$B$3^2/(4*C41^2)))/(1+$B$3^2/C41))</f>
        <v>0.134385856679784</v>
      </c>
      <c r="F41" s="4" t="n">
        <f aca="false">IF(C41=0,0,(D41+$B$3^2/(2*C41)+$B$3*SQRT(D41*(1-D41)/C41+$B$3^2/(4*C41^2)))/(1+$B$3^2/C41))</f>
        <v>0.323914071815806</v>
      </c>
      <c r="G41" s="2" t="s">
        <v>65</v>
      </c>
    </row>
    <row r="42" customFormat="false" ht="15" hidden="false" customHeight="false" outlineLevel="0" collapsed="false">
      <c r="A42" s="2" t="s">
        <v>66</v>
      </c>
      <c r="B42" s="2" t="n">
        <f aca="false">COUNTIF(Coding!O2:O71,"relative-weeks")</f>
        <v>14</v>
      </c>
      <c r="C42" s="2" t="n">
        <f aca="false">$B$6</f>
        <v>70</v>
      </c>
      <c r="D42" s="4" t="n">
        <f aca="false">IF(C42=0,0,B42/C42)</f>
        <v>0.2</v>
      </c>
      <c r="E42" s="4" t="n">
        <f aca="false">IF(C42=0,0,(D42+$B$3^2/(2*C42)-$B$3*SQRT(D42*(1-D42)/C42+$B$3^2/(4*C42^2)))/(1+$B$3^2/C42))</f>
        <v>0.123046278029499</v>
      </c>
      <c r="F42" s="4" t="n">
        <f aca="false">IF(C42=0,0,(D42+$B$3^2/(2*C42)+$B$3*SQRT(D42*(1-D42)/C42+$B$3^2/(4*C42^2)))/(1+$B$3^2/C42))</f>
        <v>0.308168646890871</v>
      </c>
      <c r="G42" s="2" t="s">
        <v>67</v>
      </c>
    </row>
    <row r="43" customFormat="false" ht="15" hidden="false" customHeight="false" outlineLevel="0" collapsed="false">
      <c r="A43" s="2" t="s">
        <v>68</v>
      </c>
      <c r="B43" s="2" t="n">
        <f aca="false">COUNTIF(Coding!O2:O71,"none")+COUNTIF(Coding!O2:O71,"updated-only")+COUNTIF(Coding!O2:O71,"indexed")</f>
        <v>41</v>
      </c>
      <c r="C43" s="2" t="n">
        <f aca="false">$B$6</f>
        <v>70</v>
      </c>
      <c r="D43" s="4" t="n">
        <f aca="false">IF(C43=0,0,B43/C43)</f>
        <v>0.585714285714286</v>
      </c>
      <c r="E43" s="4" t="n">
        <f aca="false">IF(C43=0,0,(D43+$B$3^2/(2*C43)-$B$3*SQRT(D43*(1-D43)/C43+$B$3^2/(4*C43^2)))/(1+$B$3^2/C43))</f>
        <v>0.468810000699465</v>
      </c>
      <c r="F43" s="4" t="n">
        <f aca="false">IF(C43=0,0,(D43+$B$3^2/(2*C43)+$B$3*SQRT(D43*(1-D43)/C43+$B$3^2/(4*C43^2)))/(1+$B$3^2/C43))</f>
        <v>0.693700020751858</v>
      </c>
      <c r="G43" s="2" t="s">
        <v>69</v>
      </c>
    </row>
    <row r="45" customFormat="false" ht="15" hidden="false" customHeight="false" outlineLevel="0" collapsed="false">
      <c r="A45" s="1" t="s">
        <v>70</v>
      </c>
    </row>
    <row r="46" customFormat="false" ht="15" hidden="false" customHeight="false" outlineLevel="0" collapsed="false">
      <c r="A46" s="2" t="s">
        <v>71</v>
      </c>
      <c r="B46" s="2" t="n">
        <f aca="false">COUNTIF(Excluded!H2:H227,A46)</f>
        <v>54</v>
      </c>
    </row>
    <row r="47" customFormat="false" ht="15" hidden="false" customHeight="false" outlineLevel="0" collapsed="false">
      <c r="A47" s="2" t="s">
        <v>72</v>
      </c>
      <c r="B47" s="2" t="n">
        <f aca="false">COUNTIF(Excluded!H2:H227,A47)</f>
        <v>7</v>
      </c>
    </row>
    <row r="48" customFormat="false" ht="15" hidden="false" customHeight="false" outlineLevel="0" collapsed="false">
      <c r="A48" s="2" t="s">
        <v>73</v>
      </c>
      <c r="B48" s="2" t="n">
        <f aca="false">COUNTIF(Excluded!H2:H227,A48)</f>
        <v>27</v>
      </c>
    </row>
    <row r="49" customFormat="false" ht="15" hidden="false" customHeight="false" outlineLevel="0" collapsed="false">
      <c r="A49" s="2" t="s">
        <v>74</v>
      </c>
      <c r="B49" s="2" t="n">
        <f aca="false">COUNTIF(Excluded!H2:H227,A49)</f>
        <v>19</v>
      </c>
    </row>
    <row r="50" customFormat="false" ht="15" hidden="false" customHeight="false" outlineLevel="0" collapsed="false">
      <c r="A50" s="2" t="s">
        <v>75</v>
      </c>
      <c r="B50" s="2" t="n">
        <f aca="false">COUNTIF(Excluded!H2:H227,A50)</f>
        <v>16</v>
      </c>
    </row>
    <row r="51" customFormat="false" ht="15" hidden="false" customHeight="false" outlineLevel="0" collapsed="false">
      <c r="A51" s="2" t="s">
        <v>76</v>
      </c>
      <c r="B51" s="2" t="n">
        <f aca="false">COUNTIF(Excluded!H2:H227,A51)</f>
        <v>15</v>
      </c>
    </row>
    <row r="52" customFormat="false" ht="15" hidden="false" customHeight="false" outlineLevel="0" collapsed="false">
      <c r="A52" s="2" t="s">
        <v>77</v>
      </c>
      <c r="B52" s="2" t="n">
        <f aca="false">COUNTIF(Excluded!H2:H227,A52)</f>
        <v>8</v>
      </c>
    </row>
    <row r="53" customFormat="false" ht="15" hidden="false" customHeight="false" outlineLevel="0" collapsed="false">
      <c r="A53" s="2" t="s">
        <v>78</v>
      </c>
      <c r="B53" s="2" t="n">
        <f aca="false">COUNTIF(Excluded!H2:H227,A53)</f>
        <v>10</v>
      </c>
    </row>
    <row r="54" customFormat="false" ht="15" hidden="false" customHeight="false" outlineLevel="0" collapsed="false">
      <c r="A54" s="2" t="s">
        <v>79</v>
      </c>
      <c r="B54" s="2" t="n">
        <f aca="false">COUNTIF(Excluded!H2:H227,A54)</f>
        <v>67</v>
      </c>
    </row>
    <row r="55" customFormat="false" ht="15" hidden="false" customHeight="false" outlineLevel="0" collapsed="false">
      <c r="A55" s="2" t="s">
        <v>80</v>
      </c>
      <c r="B55" s="2" t="n">
        <f aca="false">COUNTIF(Excluded!H2:H227,A55)</f>
        <v>3</v>
      </c>
    </row>
    <row r="56" customFormat="false" ht="15" hidden="false" customHeight="false" outlineLevel="0" collapsed="false">
      <c r="A56" s="2" t="s">
        <v>81</v>
      </c>
      <c r="B56" s="2" t="n">
        <f aca="false">SUM(B46:B55)</f>
        <v>226</v>
      </c>
    </row>
    <row r="58" customFormat="false" ht="15" hidden="false" customHeight="false" outlineLevel="0" collapsed="false">
      <c r="A58" s="1" t="s">
        <v>82</v>
      </c>
    </row>
    <row r="59" customFormat="false" ht="15" hidden="false" customHeight="false" outlineLevel="0" collapsed="false">
      <c r="A59" s="2" t="s">
        <v>83</v>
      </c>
      <c r="B59" s="2" t="n">
        <f aca="false">B6</f>
        <v>70</v>
      </c>
    </row>
    <row r="60" customFormat="false" ht="15" hidden="false" customHeight="false" outlineLevel="0" collapsed="false">
      <c r="A60" s="2" t="s">
        <v>84</v>
      </c>
      <c r="B60" s="2" t="n">
        <f aca="false">B38</f>
        <v>5</v>
      </c>
    </row>
    <row r="61" customFormat="false" ht="15" hidden="false" customHeight="false" outlineLevel="0" collapsed="false">
      <c r="A61" s="2" t="s">
        <v>85</v>
      </c>
      <c r="B61" s="3" t="n">
        <v>0</v>
      </c>
      <c r="G61" s="2" t="s">
        <v>86</v>
      </c>
    </row>
    <row r="62" customFormat="false" ht="15" hidden="false" customHeight="false" outlineLevel="0" collapsed="false">
      <c r="A62" s="2" t="s">
        <v>87</v>
      </c>
      <c r="B62" s="2" t="str">
        <f aca="false">IF(B59&lt;20,"FIRES","does not fire on count")</f>
        <v>does not fire on count</v>
      </c>
    </row>
    <row r="63" customFormat="false" ht="15" hidden="false" customHeight="false" outlineLevel="0" collapsed="false">
      <c r="G63" s="2" t="s">
        <v>88</v>
      </c>
    </row>
    <row r="65" customFormat="false" ht="15" hidden="false" customHeight="false" outlineLevel="0" collapsed="false">
      <c r="A65" s="1" t="s">
        <v>89</v>
      </c>
    </row>
    <row r="66" customFormat="false" ht="15" hidden="false" customHeight="false" outlineLevel="0" collapsed="false">
      <c r="A66" s="2" t="s">
        <v>90</v>
      </c>
      <c r="B66" s="2" t="s">
        <v>91</v>
      </c>
    </row>
    <row r="67" customFormat="false" ht="15" hidden="false" customHeight="false" outlineLevel="0" collapsed="false">
      <c r="A67" s="2" t="s">
        <v>92</v>
      </c>
      <c r="B67" s="2" t="s">
        <v>93</v>
      </c>
    </row>
    <row r="68" customFormat="false" ht="15" hidden="false" customHeight="false" outlineLevel="0" collapsed="false">
      <c r="A68" s="2" t="s">
        <v>94</v>
      </c>
      <c r="B68" s="2" t="s">
        <v>95</v>
      </c>
    </row>
    <row r="69" customFormat="false" ht="15" hidden="false" customHeight="false" outlineLevel="0" collapsed="false">
      <c r="A69" s="2" t="s">
        <v>96</v>
      </c>
      <c r="B69" s="2" t="s">
        <v>97</v>
      </c>
    </row>
    <row r="70" customFormat="false" ht="15" hidden="false" customHeight="false" outlineLevel="0" collapsed="false">
      <c r="A70" s="2" t="s">
        <v>98</v>
      </c>
      <c r="B70" s="2" t="s">
        <v>99</v>
      </c>
    </row>
    <row r="71" customFormat="false" ht="15" hidden="false" customHeight="false" outlineLevel="0" collapsed="false">
      <c r="A71" s="2" t="s">
        <v>100</v>
      </c>
      <c r="B71" s="2" t="s">
        <v>101</v>
      </c>
    </row>
    <row r="72" customFormat="false" ht="15" hidden="false" customHeight="false" outlineLevel="0" collapsed="false">
      <c r="A72" s="2" t="s">
        <v>102</v>
      </c>
      <c r="B72" s="2" t="s">
        <v>103</v>
      </c>
    </row>
    <row r="73" customFormat="false" ht="15" hidden="false" customHeight="false" outlineLevel="0" collapsed="false">
      <c r="A73" s="2" t="s">
        <v>104</v>
      </c>
      <c r="B73" s="2" t="s">
        <v>105</v>
      </c>
    </row>
    <row r="74" customFormat="false" ht="15" hidden="false" customHeight="false" outlineLevel="0" collapsed="false">
      <c r="A74" s="2" t="s">
        <v>106</v>
      </c>
      <c r="B74" s="2" t="s">
        <v>107</v>
      </c>
    </row>
    <row r="76" customFormat="false" ht="15" hidden="false" customHeight="false" outlineLevel="0" collapsed="false">
      <c r="A76" s="1" t="s">
        <v>108</v>
      </c>
    </row>
    <row r="77" customFormat="false" ht="15" hidden="false" customHeight="false" outlineLevel="0" collapsed="false">
      <c r="A77" s="2" t="s">
        <v>109</v>
      </c>
      <c r="B77" s="2" t="n">
        <f aca="false">COUNTA(LinkedIn!A2:A2)</f>
        <v>1</v>
      </c>
      <c r="G77" s="2" t="s">
        <v>110</v>
      </c>
    </row>
    <row r="78" customFormat="false" ht="15" hidden="false" customHeight="false" outlineLevel="0" collapsed="false">
      <c r="A78" s="2" t="s">
        <v>111</v>
      </c>
      <c r="B78" s="2" t="n">
        <v>0</v>
      </c>
      <c r="G78" s="2" t="s">
        <v>112</v>
      </c>
    </row>
    <row r="80" customFormat="false" ht="15" hidden="false" customHeight="false" outlineLevel="0" collapsed="false">
      <c r="A80" s="1" t="s">
        <v>113</v>
      </c>
    </row>
    <row r="81" customFormat="false" ht="15" hidden="false" customHeight="false" outlineLevel="0" collapsed="false">
      <c r="A81" s="2" t="s">
        <v>114</v>
      </c>
    </row>
    <row r="82" customFormat="false" ht="15" hidden="false" customHeight="false" outlineLevel="0" collapsed="false">
      <c r="A82" s="2" t="s">
        <v>115</v>
      </c>
    </row>
    <row r="83" customFormat="false" ht="15" hidden="false" customHeight="false" outlineLevel="0" collapsed="false">
      <c r="A83" s="2" t="s">
        <v>116</v>
      </c>
    </row>
    <row r="84" customFormat="false" ht="15" hidden="false" customHeight="false" outlineLevel="0" collapsed="false">
      <c r="A84" s="2" t="s">
        <v>117</v>
      </c>
    </row>
    <row r="85" customFormat="false" ht="15" hidden="false" customHeight="false" outlineLevel="0" collapsed="false">
      <c r="A85" s="2" t="s">
        <v>118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6"/>
    <col collapsed="false" customWidth="true" hidden="false" outlineLevel="0" max="3" min="3" style="0" width="24"/>
    <col collapsed="false" customWidth="true" hidden="false" outlineLevel="0" max="6" min="4" style="0" width="18"/>
    <col collapsed="false" customWidth="true" hidden="false" outlineLevel="0" max="7" min="7" style="0" width="90"/>
  </cols>
  <sheetData>
    <row r="1" customFormat="false" ht="15" hidden="false" customHeight="false" outlineLevel="0" collapsed="false">
      <c r="A1" s="5" t="s">
        <v>119</v>
      </c>
      <c r="B1" s="5" t="s">
        <v>120</v>
      </c>
      <c r="C1" s="5" t="s">
        <v>121</v>
      </c>
      <c r="D1" s="5" t="s">
        <v>122</v>
      </c>
      <c r="E1" s="5" t="s">
        <v>123</v>
      </c>
      <c r="F1" s="5" t="s">
        <v>124</v>
      </c>
      <c r="G1" s="5" t="s">
        <v>125</v>
      </c>
    </row>
    <row r="2" customFormat="false" ht="15" hidden="false" customHeight="false" outlineLevel="0" collapsed="false">
      <c r="A2" s="6" t="s">
        <v>126</v>
      </c>
      <c r="B2" s="6" t="s">
        <v>127</v>
      </c>
      <c r="C2" s="6" t="s">
        <v>128</v>
      </c>
      <c r="D2" s="6" t="s">
        <v>129</v>
      </c>
      <c r="E2" s="6" t="n">
        <v>9</v>
      </c>
      <c r="F2" s="6" t="n">
        <v>2</v>
      </c>
      <c r="G2" s="6" t="s">
        <v>130</v>
      </c>
    </row>
    <row r="3" customFormat="false" ht="15" hidden="false" customHeight="false" outlineLevel="0" collapsed="false">
      <c r="A3" s="6" t="s">
        <v>131</v>
      </c>
      <c r="B3" s="6" t="s">
        <v>132</v>
      </c>
      <c r="C3" s="6" t="s">
        <v>128</v>
      </c>
      <c r="D3" s="6" t="s">
        <v>129</v>
      </c>
      <c r="E3" s="6" t="n">
        <v>1</v>
      </c>
      <c r="F3" s="6" t="n">
        <v>0</v>
      </c>
      <c r="G3" s="6" t="s">
        <v>133</v>
      </c>
    </row>
    <row r="4" customFormat="false" ht="15" hidden="false" customHeight="false" outlineLevel="0" collapsed="false">
      <c r="A4" s="6" t="s">
        <v>134</v>
      </c>
      <c r="B4" s="6" t="s">
        <v>135</v>
      </c>
      <c r="C4" s="6" t="s">
        <v>128</v>
      </c>
      <c r="D4" s="6" t="s">
        <v>129</v>
      </c>
      <c r="E4" s="6" t="n">
        <v>4</v>
      </c>
      <c r="F4" s="6" t="n">
        <v>2</v>
      </c>
      <c r="G4" s="6" t="s">
        <v>130</v>
      </c>
    </row>
    <row r="5" customFormat="false" ht="15" hidden="false" customHeight="false" outlineLevel="0" collapsed="false">
      <c r="A5" s="6" t="s">
        <v>136</v>
      </c>
      <c r="B5" s="6" t="s">
        <v>137</v>
      </c>
      <c r="C5" s="6" t="s">
        <v>128</v>
      </c>
      <c r="D5" s="6" t="s">
        <v>129</v>
      </c>
      <c r="E5" s="6" t="n">
        <v>5</v>
      </c>
      <c r="F5" s="6" t="n">
        <v>1</v>
      </c>
      <c r="G5" s="6" t="s">
        <v>138</v>
      </c>
    </row>
    <row r="6" customFormat="false" ht="15" hidden="false" customHeight="false" outlineLevel="0" collapsed="false">
      <c r="A6" s="6" t="s">
        <v>139</v>
      </c>
      <c r="B6" s="6" t="s">
        <v>140</v>
      </c>
      <c r="C6" s="6" t="s">
        <v>128</v>
      </c>
      <c r="D6" s="6" t="s">
        <v>129</v>
      </c>
      <c r="E6" s="6" t="n">
        <v>7</v>
      </c>
      <c r="F6" s="6" t="n">
        <v>1</v>
      </c>
      <c r="G6" s="6" t="s">
        <v>138</v>
      </c>
    </row>
    <row r="7" customFormat="false" ht="15" hidden="false" customHeight="false" outlineLevel="0" collapsed="false">
      <c r="A7" s="6" t="s">
        <v>141</v>
      </c>
      <c r="B7" s="6" t="s">
        <v>142</v>
      </c>
      <c r="C7" s="6" t="s">
        <v>128</v>
      </c>
      <c r="D7" s="6" t="s">
        <v>129</v>
      </c>
      <c r="E7" s="6" t="n">
        <v>2</v>
      </c>
      <c r="F7" s="6" t="n">
        <v>2</v>
      </c>
      <c r="G7" s="6" t="s">
        <v>130</v>
      </c>
    </row>
    <row r="8" customFormat="false" ht="15" hidden="false" customHeight="false" outlineLevel="0" collapsed="false">
      <c r="A8" s="6" t="s">
        <v>143</v>
      </c>
      <c r="B8" s="6" t="s">
        <v>144</v>
      </c>
      <c r="C8" s="6" t="s">
        <v>128</v>
      </c>
      <c r="D8" s="6" t="s">
        <v>129</v>
      </c>
      <c r="E8" s="6" t="n">
        <v>7</v>
      </c>
      <c r="F8" s="6" t="n">
        <v>5</v>
      </c>
      <c r="G8" s="6" t="s">
        <v>145</v>
      </c>
    </row>
    <row r="9" customFormat="false" ht="15" hidden="false" customHeight="false" outlineLevel="0" collapsed="false">
      <c r="A9" s="6" t="s">
        <v>146</v>
      </c>
      <c r="B9" s="6" t="s">
        <v>147</v>
      </c>
      <c r="C9" s="6" t="s">
        <v>128</v>
      </c>
      <c r="D9" s="6" t="s">
        <v>129</v>
      </c>
      <c r="E9" s="6" t="n">
        <v>3</v>
      </c>
      <c r="F9" s="6" t="n">
        <v>0</v>
      </c>
      <c r="G9" s="6" t="s">
        <v>148</v>
      </c>
    </row>
    <row r="10" customFormat="false" ht="15" hidden="false" customHeight="false" outlineLevel="0" collapsed="false">
      <c r="A10" s="6" t="s">
        <v>149</v>
      </c>
      <c r="B10" s="6" t="s">
        <v>150</v>
      </c>
      <c r="C10" s="6" t="s">
        <v>128</v>
      </c>
      <c r="D10" s="6" t="s">
        <v>129</v>
      </c>
      <c r="E10" s="6" t="n">
        <v>7</v>
      </c>
      <c r="F10" s="6" t="n">
        <v>1</v>
      </c>
      <c r="G10" s="6" t="s">
        <v>138</v>
      </c>
    </row>
    <row r="11" customFormat="false" ht="15" hidden="false" customHeight="false" outlineLevel="0" collapsed="false">
      <c r="A11" s="6" t="s">
        <v>151</v>
      </c>
      <c r="B11" s="6" t="s">
        <v>152</v>
      </c>
      <c r="C11" s="6" t="s">
        <v>128</v>
      </c>
      <c r="D11" s="6" t="s">
        <v>129</v>
      </c>
      <c r="E11" s="6" t="n">
        <v>2</v>
      </c>
      <c r="F11" s="6" t="n">
        <v>0</v>
      </c>
      <c r="G11" s="6" t="s">
        <v>153</v>
      </c>
    </row>
    <row r="12" customFormat="false" ht="15" hidden="false" customHeight="false" outlineLevel="0" collapsed="false">
      <c r="A12" s="6" t="s">
        <v>154</v>
      </c>
      <c r="B12" s="6" t="s">
        <v>155</v>
      </c>
      <c r="C12" s="6" t="s">
        <v>128</v>
      </c>
      <c r="D12" s="6" t="s">
        <v>129</v>
      </c>
      <c r="E12" s="6" t="n">
        <v>3</v>
      </c>
      <c r="F12" s="6" t="n">
        <v>1</v>
      </c>
      <c r="G12" s="6" t="s">
        <v>138</v>
      </c>
    </row>
    <row r="13" customFormat="false" ht="15" hidden="false" customHeight="false" outlineLevel="0" collapsed="false">
      <c r="A13" s="6" t="s">
        <v>156</v>
      </c>
      <c r="B13" s="6" t="s">
        <v>157</v>
      </c>
      <c r="C13" s="6" t="s">
        <v>128</v>
      </c>
      <c r="D13" s="6" t="s">
        <v>129</v>
      </c>
      <c r="E13" s="6" t="n">
        <v>5</v>
      </c>
      <c r="F13" s="6" t="n">
        <v>1</v>
      </c>
      <c r="G13" s="6" t="s">
        <v>138</v>
      </c>
    </row>
    <row r="14" customFormat="false" ht="15" hidden="false" customHeight="false" outlineLevel="0" collapsed="false">
      <c r="A14" s="6" t="s">
        <v>158</v>
      </c>
      <c r="B14" s="6" t="s">
        <v>159</v>
      </c>
      <c r="C14" s="6" t="s">
        <v>128</v>
      </c>
      <c r="D14" s="6" t="s">
        <v>129</v>
      </c>
      <c r="E14" s="6" t="n">
        <v>6</v>
      </c>
      <c r="F14" s="6" t="n">
        <v>1</v>
      </c>
      <c r="G14" s="6" t="s">
        <v>138</v>
      </c>
    </row>
    <row r="15" customFormat="false" ht="15" hidden="false" customHeight="false" outlineLevel="0" collapsed="false">
      <c r="A15" s="6" t="s">
        <v>160</v>
      </c>
      <c r="B15" s="6" t="s">
        <v>161</v>
      </c>
      <c r="C15" s="6" t="s">
        <v>128</v>
      </c>
      <c r="D15" s="6" t="s">
        <v>129</v>
      </c>
      <c r="E15" s="6" t="n">
        <v>3</v>
      </c>
      <c r="F15" s="6" t="n">
        <v>0</v>
      </c>
      <c r="G15" s="6" t="s">
        <v>162</v>
      </c>
    </row>
    <row r="16" customFormat="false" ht="15" hidden="false" customHeight="false" outlineLevel="0" collapsed="false">
      <c r="A16" s="6" t="s">
        <v>163</v>
      </c>
      <c r="B16" s="6" t="s">
        <v>164</v>
      </c>
      <c r="C16" s="6" t="s">
        <v>128</v>
      </c>
      <c r="D16" s="6" t="s">
        <v>129</v>
      </c>
      <c r="E16" s="6" t="n">
        <v>5</v>
      </c>
      <c r="F16" s="6" t="n">
        <v>0</v>
      </c>
      <c r="G16" s="6" t="s">
        <v>165</v>
      </c>
    </row>
    <row r="17" customFormat="false" ht="15" hidden="false" customHeight="false" outlineLevel="0" collapsed="false">
      <c r="A17" s="6" t="s">
        <v>166</v>
      </c>
      <c r="B17" s="6" t="s">
        <v>167</v>
      </c>
      <c r="C17" s="6" t="s">
        <v>128</v>
      </c>
      <c r="D17" s="6" t="s">
        <v>129</v>
      </c>
      <c r="E17" s="6" t="n">
        <v>3</v>
      </c>
      <c r="F17" s="6" t="n">
        <v>0</v>
      </c>
      <c r="G17" s="6" t="s">
        <v>168</v>
      </c>
    </row>
    <row r="18" customFormat="false" ht="15" hidden="false" customHeight="false" outlineLevel="0" collapsed="false">
      <c r="A18" s="6" t="s">
        <v>169</v>
      </c>
      <c r="B18" s="6" t="s">
        <v>170</v>
      </c>
      <c r="C18" s="6" t="s">
        <v>128</v>
      </c>
      <c r="D18" s="6" t="s">
        <v>129</v>
      </c>
      <c r="E18" s="6" t="n">
        <v>4</v>
      </c>
      <c r="F18" s="6" t="n">
        <v>1</v>
      </c>
      <c r="G18" s="6" t="s">
        <v>138</v>
      </c>
    </row>
    <row r="19" customFormat="false" ht="15" hidden="false" customHeight="false" outlineLevel="0" collapsed="false">
      <c r="A19" s="6" t="s">
        <v>171</v>
      </c>
      <c r="B19" s="6" t="s">
        <v>172</v>
      </c>
      <c r="C19" s="6" t="s">
        <v>128</v>
      </c>
      <c r="D19" s="6" t="s">
        <v>129</v>
      </c>
      <c r="E19" s="6" t="n">
        <v>2</v>
      </c>
      <c r="F19" s="6" t="n">
        <v>0</v>
      </c>
      <c r="G19" s="6" t="s">
        <v>153</v>
      </c>
    </row>
    <row r="20" customFormat="false" ht="15" hidden="false" customHeight="false" outlineLevel="0" collapsed="false">
      <c r="A20" s="6" t="s">
        <v>173</v>
      </c>
      <c r="B20" s="6" t="s">
        <v>174</v>
      </c>
      <c r="C20" s="6" t="s">
        <v>128</v>
      </c>
      <c r="D20" s="6" t="s">
        <v>129</v>
      </c>
      <c r="E20" s="6" t="n">
        <v>2</v>
      </c>
      <c r="F20" s="6" t="n">
        <v>0</v>
      </c>
      <c r="G20" s="6" t="s">
        <v>175</v>
      </c>
    </row>
    <row r="21" customFormat="false" ht="15" hidden="false" customHeight="false" outlineLevel="0" collapsed="false">
      <c r="A21" s="6" t="s">
        <v>176</v>
      </c>
      <c r="B21" s="6" t="s">
        <v>177</v>
      </c>
      <c r="C21" s="6" t="s">
        <v>128</v>
      </c>
      <c r="D21" s="6" t="s">
        <v>129</v>
      </c>
      <c r="E21" s="6" t="n">
        <v>2</v>
      </c>
      <c r="F21" s="6" t="n">
        <v>1</v>
      </c>
      <c r="G21" s="6" t="s">
        <v>178</v>
      </c>
    </row>
    <row r="22" customFormat="false" ht="15" hidden="false" customHeight="false" outlineLevel="0" collapsed="false">
      <c r="A22" s="6" t="s">
        <v>179</v>
      </c>
      <c r="B22" s="6" t="s">
        <v>180</v>
      </c>
      <c r="C22" s="6" t="s">
        <v>128</v>
      </c>
      <c r="D22" s="6" t="s">
        <v>129</v>
      </c>
      <c r="E22" s="6" t="n">
        <v>5</v>
      </c>
      <c r="F22" s="6" t="n">
        <v>0</v>
      </c>
      <c r="G22" s="6" t="s">
        <v>181</v>
      </c>
    </row>
    <row r="23" customFormat="false" ht="15" hidden="false" customHeight="false" outlineLevel="0" collapsed="false">
      <c r="A23" s="6" t="s">
        <v>182</v>
      </c>
      <c r="B23" s="6" t="s">
        <v>183</v>
      </c>
      <c r="C23" s="6" t="s">
        <v>128</v>
      </c>
      <c r="D23" s="6" t="s">
        <v>129</v>
      </c>
      <c r="E23" s="6" t="n">
        <v>1</v>
      </c>
      <c r="F23" s="6" t="n">
        <v>1</v>
      </c>
      <c r="G23" s="6" t="s">
        <v>138</v>
      </c>
    </row>
    <row r="24" customFormat="false" ht="15" hidden="false" customHeight="false" outlineLevel="0" collapsed="false">
      <c r="A24" s="6" t="s">
        <v>184</v>
      </c>
      <c r="B24" s="6" t="s">
        <v>185</v>
      </c>
      <c r="C24" s="6" t="s">
        <v>128</v>
      </c>
      <c r="D24" s="6" t="s">
        <v>129</v>
      </c>
      <c r="E24" s="6" t="n">
        <v>1</v>
      </c>
      <c r="F24" s="6" t="n">
        <v>0</v>
      </c>
      <c r="G24" s="6" t="s">
        <v>186</v>
      </c>
    </row>
    <row r="25" customFormat="false" ht="15" hidden="false" customHeight="false" outlineLevel="0" collapsed="false">
      <c r="A25" s="6" t="s">
        <v>187</v>
      </c>
      <c r="B25" s="6" t="s">
        <v>188</v>
      </c>
      <c r="C25" s="6" t="s">
        <v>128</v>
      </c>
      <c r="D25" s="6" t="s">
        <v>129</v>
      </c>
      <c r="E25" s="6" t="n">
        <v>4</v>
      </c>
      <c r="F25" s="6" t="n">
        <v>3</v>
      </c>
      <c r="G25" s="6" t="s">
        <v>189</v>
      </c>
    </row>
    <row r="26" customFormat="false" ht="15" hidden="false" customHeight="false" outlineLevel="0" collapsed="false">
      <c r="A26" s="6" t="s">
        <v>190</v>
      </c>
      <c r="B26" s="6" t="s">
        <v>191</v>
      </c>
      <c r="C26" s="6" t="s">
        <v>128</v>
      </c>
      <c r="D26" s="6" t="s">
        <v>129</v>
      </c>
      <c r="E26" s="6" t="n">
        <v>4</v>
      </c>
      <c r="F26" s="6" t="n">
        <v>3</v>
      </c>
      <c r="G26" s="6" t="s">
        <v>189</v>
      </c>
    </row>
    <row r="27" customFormat="false" ht="15" hidden="false" customHeight="false" outlineLevel="0" collapsed="false">
      <c r="A27" s="6" t="s">
        <v>192</v>
      </c>
      <c r="B27" s="6" t="s">
        <v>193</v>
      </c>
      <c r="C27" s="6" t="s">
        <v>128</v>
      </c>
      <c r="D27" s="6" t="s">
        <v>129</v>
      </c>
      <c r="E27" s="6" t="n">
        <v>1</v>
      </c>
      <c r="F27" s="6" t="n">
        <v>0</v>
      </c>
      <c r="G27" s="6" t="s">
        <v>186</v>
      </c>
    </row>
    <row r="28" customFormat="false" ht="15" hidden="false" customHeight="false" outlineLevel="0" collapsed="false">
      <c r="A28" s="6" t="s">
        <v>194</v>
      </c>
      <c r="B28" s="6" t="s">
        <v>195</v>
      </c>
      <c r="C28" s="6" t="s">
        <v>196</v>
      </c>
      <c r="D28" s="6" t="s">
        <v>129</v>
      </c>
      <c r="E28" s="6" t="n">
        <v>4</v>
      </c>
      <c r="F28" s="6" t="n">
        <v>2</v>
      </c>
      <c r="G28" s="6" t="s">
        <v>130</v>
      </c>
    </row>
    <row r="29" customFormat="false" ht="15" hidden="false" customHeight="false" outlineLevel="0" collapsed="false">
      <c r="A29" s="6" t="s">
        <v>197</v>
      </c>
      <c r="B29" s="6" t="s">
        <v>198</v>
      </c>
      <c r="C29" s="6" t="s">
        <v>196</v>
      </c>
      <c r="D29" s="6" t="s">
        <v>129</v>
      </c>
      <c r="E29" s="6" t="n">
        <v>2</v>
      </c>
      <c r="F29" s="6" t="n">
        <v>0</v>
      </c>
      <c r="G29" s="6" t="s">
        <v>199</v>
      </c>
    </row>
    <row r="30" customFormat="false" ht="15" hidden="false" customHeight="false" outlineLevel="0" collapsed="false">
      <c r="A30" s="6" t="s">
        <v>200</v>
      </c>
      <c r="B30" s="6" t="s">
        <v>201</v>
      </c>
      <c r="C30" s="6" t="s">
        <v>196</v>
      </c>
      <c r="D30" s="6" t="s">
        <v>129</v>
      </c>
      <c r="E30" s="6" t="n">
        <v>2</v>
      </c>
      <c r="F30" s="6" t="n">
        <v>0</v>
      </c>
      <c r="G30" s="6" t="s">
        <v>202</v>
      </c>
    </row>
    <row r="31" customFormat="false" ht="15" hidden="false" customHeight="false" outlineLevel="0" collapsed="false">
      <c r="A31" s="6" t="s">
        <v>203</v>
      </c>
      <c r="B31" s="6" t="s">
        <v>204</v>
      </c>
      <c r="C31" s="6" t="s">
        <v>196</v>
      </c>
      <c r="D31" s="6" t="s">
        <v>129</v>
      </c>
      <c r="E31" s="6" t="n">
        <v>7</v>
      </c>
      <c r="F31" s="6" t="n">
        <v>4</v>
      </c>
      <c r="G31" s="6" t="s">
        <v>205</v>
      </c>
    </row>
    <row r="32" customFormat="false" ht="15" hidden="false" customHeight="false" outlineLevel="0" collapsed="false">
      <c r="A32" s="6" t="s">
        <v>206</v>
      </c>
      <c r="B32" s="6" t="s">
        <v>207</v>
      </c>
      <c r="C32" s="6" t="s">
        <v>196</v>
      </c>
      <c r="D32" s="6" t="s">
        <v>129</v>
      </c>
      <c r="E32" s="6" t="n">
        <v>3</v>
      </c>
      <c r="F32" s="6" t="n">
        <v>0</v>
      </c>
      <c r="G32" s="6" t="s">
        <v>208</v>
      </c>
    </row>
    <row r="33" customFormat="false" ht="15" hidden="false" customHeight="false" outlineLevel="0" collapsed="false">
      <c r="A33" s="6" t="s">
        <v>209</v>
      </c>
      <c r="B33" s="6" t="s">
        <v>210</v>
      </c>
      <c r="C33" s="6" t="s">
        <v>196</v>
      </c>
      <c r="D33" s="6"/>
      <c r="E33" s="6" t="n">
        <v>0</v>
      </c>
      <c r="F33" s="6" t="n">
        <v>0</v>
      </c>
      <c r="G33" s="6" t="s">
        <v>211</v>
      </c>
    </row>
    <row r="34" customFormat="false" ht="15" hidden="false" customHeight="false" outlineLevel="0" collapsed="false">
      <c r="A34" s="6" t="s">
        <v>212</v>
      </c>
      <c r="B34" s="6" t="s">
        <v>213</v>
      </c>
      <c r="C34" s="6" t="s">
        <v>196</v>
      </c>
      <c r="D34" s="6"/>
      <c r="E34" s="6" t="n">
        <v>0</v>
      </c>
      <c r="F34" s="6" t="n">
        <v>0</v>
      </c>
      <c r="G34" s="6" t="s">
        <v>211</v>
      </c>
    </row>
    <row r="35" customFormat="false" ht="15" hidden="false" customHeight="false" outlineLevel="0" collapsed="false">
      <c r="A35" s="6" t="s">
        <v>214</v>
      </c>
      <c r="B35" s="6" t="s">
        <v>215</v>
      </c>
      <c r="C35" s="6" t="s">
        <v>196</v>
      </c>
      <c r="D35" s="6" t="s">
        <v>129</v>
      </c>
      <c r="E35" s="6" t="n">
        <v>3</v>
      </c>
      <c r="F35" s="6" t="n">
        <v>0</v>
      </c>
      <c r="G35" s="6" t="s">
        <v>208</v>
      </c>
    </row>
    <row r="36" customFormat="false" ht="15" hidden="false" customHeight="false" outlineLevel="0" collapsed="false">
      <c r="A36" s="6" t="s">
        <v>216</v>
      </c>
      <c r="B36" s="6" t="s">
        <v>217</v>
      </c>
      <c r="C36" s="6" t="s">
        <v>196</v>
      </c>
      <c r="D36" s="6" t="s">
        <v>129</v>
      </c>
      <c r="E36" s="6" t="n">
        <v>2</v>
      </c>
      <c r="F36" s="6" t="n">
        <v>0</v>
      </c>
      <c r="G36" s="6" t="s">
        <v>218</v>
      </c>
    </row>
    <row r="37" customFormat="false" ht="15" hidden="false" customHeight="false" outlineLevel="0" collapsed="false">
      <c r="A37" s="6" t="s">
        <v>219</v>
      </c>
      <c r="B37" s="6" t="s">
        <v>220</v>
      </c>
      <c r="C37" s="6" t="s">
        <v>221</v>
      </c>
      <c r="D37" s="6" t="s">
        <v>129</v>
      </c>
      <c r="E37" s="6" t="n">
        <v>2</v>
      </c>
      <c r="F37" s="6" t="n">
        <v>1</v>
      </c>
      <c r="G37" s="6" t="s">
        <v>138</v>
      </c>
    </row>
    <row r="38" customFormat="false" ht="15" hidden="false" customHeight="false" outlineLevel="0" collapsed="false">
      <c r="A38" s="6" t="s">
        <v>222</v>
      </c>
      <c r="B38" s="6" t="s">
        <v>223</v>
      </c>
      <c r="C38" s="6" t="s">
        <v>221</v>
      </c>
      <c r="D38" s="6" t="s">
        <v>129</v>
      </c>
      <c r="E38" s="6" t="n">
        <v>13</v>
      </c>
      <c r="F38" s="6" t="n">
        <v>4</v>
      </c>
      <c r="G38" s="6" t="s">
        <v>205</v>
      </c>
    </row>
    <row r="39" customFormat="false" ht="15" hidden="false" customHeight="false" outlineLevel="0" collapsed="false">
      <c r="A39" s="6" t="s">
        <v>224</v>
      </c>
      <c r="B39" s="6" t="s">
        <v>225</v>
      </c>
      <c r="C39" s="6" t="s">
        <v>221</v>
      </c>
      <c r="D39" s="6" t="s">
        <v>129</v>
      </c>
      <c r="E39" s="6" t="n">
        <v>2</v>
      </c>
      <c r="F39" s="6" t="n">
        <v>0</v>
      </c>
      <c r="G39" s="6" t="s">
        <v>226</v>
      </c>
    </row>
    <row r="40" customFormat="false" ht="15" hidden="false" customHeight="false" outlineLevel="0" collapsed="false">
      <c r="A40" s="6" t="s">
        <v>227</v>
      </c>
      <c r="B40" s="6" t="s">
        <v>228</v>
      </c>
      <c r="C40" s="6" t="s">
        <v>221</v>
      </c>
      <c r="D40" s="6" t="s">
        <v>129</v>
      </c>
      <c r="E40" s="6" t="n">
        <v>3</v>
      </c>
      <c r="F40" s="6" t="n">
        <v>0</v>
      </c>
      <c r="G40" s="6" t="s">
        <v>229</v>
      </c>
    </row>
    <row r="41" customFormat="false" ht="15" hidden="false" customHeight="false" outlineLevel="0" collapsed="false">
      <c r="A41" s="6" t="s">
        <v>230</v>
      </c>
      <c r="B41" s="6" t="s">
        <v>231</v>
      </c>
      <c r="C41" s="6" t="s">
        <v>221</v>
      </c>
      <c r="D41" s="6" t="s">
        <v>129</v>
      </c>
      <c r="E41" s="6" t="n">
        <v>5</v>
      </c>
      <c r="F41" s="6" t="n">
        <v>4</v>
      </c>
      <c r="G41" s="6" t="s">
        <v>205</v>
      </c>
    </row>
    <row r="42" customFormat="false" ht="15" hidden="false" customHeight="false" outlineLevel="0" collapsed="false">
      <c r="A42" s="6" t="s">
        <v>232</v>
      </c>
      <c r="B42" s="6" t="s">
        <v>233</v>
      </c>
      <c r="C42" s="6" t="s">
        <v>221</v>
      </c>
      <c r="D42" s="6" t="s">
        <v>129</v>
      </c>
      <c r="E42" s="6" t="n">
        <v>1</v>
      </c>
      <c r="F42" s="6" t="n">
        <v>0</v>
      </c>
      <c r="G42" s="6" t="s">
        <v>234</v>
      </c>
    </row>
    <row r="43" customFormat="false" ht="15" hidden="false" customHeight="false" outlineLevel="0" collapsed="false">
      <c r="A43" s="6" t="s">
        <v>235</v>
      </c>
      <c r="B43" s="6" t="s">
        <v>236</v>
      </c>
      <c r="C43" s="6" t="s">
        <v>221</v>
      </c>
      <c r="D43" s="6" t="s">
        <v>129</v>
      </c>
      <c r="E43" s="6" t="n">
        <v>2</v>
      </c>
      <c r="F43" s="6" t="n">
        <v>0</v>
      </c>
      <c r="G43" s="6" t="s">
        <v>226</v>
      </c>
    </row>
    <row r="44" customFormat="false" ht="15" hidden="false" customHeight="false" outlineLevel="0" collapsed="false">
      <c r="A44" s="6" t="s">
        <v>237</v>
      </c>
      <c r="B44" s="6" t="s">
        <v>238</v>
      </c>
      <c r="C44" s="6" t="s">
        <v>221</v>
      </c>
      <c r="D44" s="6" t="s">
        <v>129</v>
      </c>
      <c r="E44" s="6" t="n">
        <v>1</v>
      </c>
      <c r="F44" s="6" t="n">
        <v>1</v>
      </c>
      <c r="G44" s="6" t="s">
        <v>138</v>
      </c>
    </row>
    <row r="45" customFormat="false" ht="15" hidden="false" customHeight="false" outlineLevel="0" collapsed="false">
      <c r="A45" s="6" t="s">
        <v>239</v>
      </c>
      <c r="B45" s="6" t="s">
        <v>240</v>
      </c>
      <c r="C45" s="6" t="s">
        <v>221</v>
      </c>
      <c r="D45" s="6" t="s">
        <v>129</v>
      </c>
      <c r="E45" s="6" t="n">
        <v>2</v>
      </c>
      <c r="F45" s="6" t="n">
        <v>0</v>
      </c>
      <c r="G45" s="6" t="s">
        <v>241</v>
      </c>
    </row>
    <row r="46" customFormat="false" ht="15" hidden="false" customHeight="false" outlineLevel="0" collapsed="false">
      <c r="A46" s="6" t="s">
        <v>242</v>
      </c>
      <c r="B46" s="6" t="s">
        <v>243</v>
      </c>
      <c r="C46" s="6" t="s">
        <v>221</v>
      </c>
      <c r="D46" s="6"/>
      <c r="E46" s="6" t="n">
        <v>0</v>
      </c>
      <c r="F46" s="6" t="n">
        <v>0</v>
      </c>
      <c r="G46" s="6" t="s">
        <v>211</v>
      </c>
    </row>
    <row r="47" customFormat="false" ht="15" hidden="false" customHeight="false" outlineLevel="0" collapsed="false">
      <c r="A47" s="6" t="s">
        <v>244</v>
      </c>
      <c r="B47" s="6" t="s">
        <v>245</v>
      </c>
      <c r="C47" s="6" t="s">
        <v>221</v>
      </c>
      <c r="D47" s="6"/>
      <c r="E47" s="6" t="n">
        <v>0</v>
      </c>
      <c r="F47" s="6" t="n">
        <v>0</v>
      </c>
      <c r="G47" s="6" t="s">
        <v>211</v>
      </c>
    </row>
    <row r="48" customFormat="false" ht="15" hidden="false" customHeight="false" outlineLevel="0" collapsed="false">
      <c r="A48" s="6" t="s">
        <v>246</v>
      </c>
      <c r="B48" s="6" t="s">
        <v>247</v>
      </c>
      <c r="C48" s="6" t="s">
        <v>221</v>
      </c>
      <c r="D48" s="6" t="s">
        <v>129</v>
      </c>
      <c r="E48" s="6" t="n">
        <v>1</v>
      </c>
      <c r="F48" s="6" t="n">
        <v>0</v>
      </c>
      <c r="G48" s="6" t="s">
        <v>133</v>
      </c>
    </row>
    <row r="49" customFormat="false" ht="15" hidden="false" customHeight="false" outlineLevel="0" collapsed="false">
      <c r="A49" s="6" t="s">
        <v>248</v>
      </c>
      <c r="B49" s="6" t="s">
        <v>249</v>
      </c>
      <c r="C49" s="6" t="s">
        <v>221</v>
      </c>
      <c r="D49" s="6" t="s">
        <v>129</v>
      </c>
      <c r="E49" s="6" t="n">
        <v>4</v>
      </c>
      <c r="F49" s="6" t="n">
        <v>0</v>
      </c>
      <c r="G49" s="6" t="s">
        <v>250</v>
      </c>
    </row>
    <row r="50" customFormat="false" ht="15" hidden="false" customHeight="false" outlineLevel="0" collapsed="false">
      <c r="A50" s="6" t="s">
        <v>251</v>
      </c>
      <c r="B50" s="6" t="s">
        <v>252</v>
      </c>
      <c r="C50" s="6" t="s">
        <v>221</v>
      </c>
      <c r="D50" s="6" t="s">
        <v>129</v>
      </c>
      <c r="E50" s="6" t="n">
        <v>4</v>
      </c>
      <c r="F50" s="6" t="n">
        <v>3</v>
      </c>
      <c r="G50" s="6" t="s">
        <v>189</v>
      </c>
    </row>
    <row r="51" customFormat="false" ht="15" hidden="false" customHeight="false" outlineLevel="0" collapsed="false">
      <c r="A51" s="6" t="s">
        <v>253</v>
      </c>
      <c r="B51" s="6" t="s">
        <v>254</v>
      </c>
      <c r="C51" s="6" t="s">
        <v>221</v>
      </c>
      <c r="D51" s="6" t="s">
        <v>129</v>
      </c>
      <c r="E51" s="6" t="n">
        <v>4</v>
      </c>
      <c r="F51" s="6" t="n">
        <v>0</v>
      </c>
      <c r="G51" s="6" t="s">
        <v>255</v>
      </c>
    </row>
    <row r="52" customFormat="false" ht="15" hidden="false" customHeight="false" outlineLevel="0" collapsed="false">
      <c r="A52" s="6" t="s">
        <v>256</v>
      </c>
      <c r="B52" s="6" t="s">
        <v>257</v>
      </c>
      <c r="C52" s="6" t="s">
        <v>221</v>
      </c>
      <c r="D52" s="6" t="s">
        <v>129</v>
      </c>
      <c r="E52" s="6" t="n">
        <v>3</v>
      </c>
      <c r="F52" s="6" t="n">
        <v>2</v>
      </c>
      <c r="G52" s="6" t="s">
        <v>130</v>
      </c>
    </row>
    <row r="53" customFormat="false" ht="15" hidden="false" customHeight="false" outlineLevel="0" collapsed="false">
      <c r="A53" s="6" t="s">
        <v>258</v>
      </c>
      <c r="B53" s="6" t="s">
        <v>259</v>
      </c>
      <c r="C53" s="6" t="s">
        <v>221</v>
      </c>
      <c r="D53" s="6" t="s">
        <v>129</v>
      </c>
      <c r="E53" s="6" t="n">
        <v>4</v>
      </c>
      <c r="F53" s="6" t="n">
        <v>1</v>
      </c>
      <c r="G53" s="6" t="s">
        <v>138</v>
      </c>
    </row>
    <row r="54" customFormat="false" ht="15" hidden="false" customHeight="false" outlineLevel="0" collapsed="false">
      <c r="A54" s="6" t="s">
        <v>260</v>
      </c>
      <c r="B54" s="6" t="s">
        <v>261</v>
      </c>
      <c r="C54" s="6" t="s">
        <v>221</v>
      </c>
      <c r="D54" s="6" t="s">
        <v>129</v>
      </c>
      <c r="E54" s="6" t="n">
        <v>3</v>
      </c>
      <c r="F54" s="6" t="n">
        <v>0</v>
      </c>
      <c r="G54" s="6" t="s">
        <v>250</v>
      </c>
    </row>
    <row r="55" customFormat="false" ht="15" hidden="false" customHeight="false" outlineLevel="0" collapsed="false">
      <c r="A55" s="6" t="s">
        <v>262</v>
      </c>
      <c r="B55" s="6" t="s">
        <v>263</v>
      </c>
      <c r="C55" s="6" t="s">
        <v>264</v>
      </c>
      <c r="D55" s="6" t="s">
        <v>129</v>
      </c>
      <c r="E55" s="6" t="n">
        <v>2</v>
      </c>
      <c r="F55" s="6" t="n">
        <v>1</v>
      </c>
      <c r="G55" s="6" t="s">
        <v>138</v>
      </c>
    </row>
    <row r="56" customFormat="false" ht="15" hidden="false" customHeight="false" outlineLevel="0" collapsed="false">
      <c r="A56" s="6" t="s">
        <v>265</v>
      </c>
      <c r="B56" s="6" t="s">
        <v>266</v>
      </c>
      <c r="C56" s="6" t="s">
        <v>264</v>
      </c>
      <c r="D56" s="6" t="s">
        <v>129</v>
      </c>
      <c r="E56" s="6" t="n">
        <v>2</v>
      </c>
      <c r="F56" s="6" t="n">
        <v>1</v>
      </c>
      <c r="G56" s="6" t="s">
        <v>138</v>
      </c>
    </row>
    <row r="57" customFormat="false" ht="15" hidden="false" customHeight="false" outlineLevel="0" collapsed="false">
      <c r="A57" s="6" t="s">
        <v>267</v>
      </c>
      <c r="B57" s="6" t="s">
        <v>268</v>
      </c>
      <c r="C57" s="6" t="s">
        <v>264</v>
      </c>
      <c r="D57" s="6" t="s">
        <v>129</v>
      </c>
      <c r="E57" s="6" t="n">
        <v>5</v>
      </c>
      <c r="F57" s="6" t="n">
        <v>0</v>
      </c>
      <c r="G57" s="6" t="s">
        <v>269</v>
      </c>
    </row>
    <row r="58" customFormat="false" ht="15" hidden="false" customHeight="false" outlineLevel="0" collapsed="false">
      <c r="A58" s="6" t="s">
        <v>270</v>
      </c>
      <c r="B58" s="6" t="s">
        <v>271</v>
      </c>
      <c r="C58" s="6" t="s">
        <v>264</v>
      </c>
      <c r="D58" s="6" t="s">
        <v>129</v>
      </c>
      <c r="E58" s="6" t="n">
        <v>2</v>
      </c>
      <c r="F58" s="6" t="n">
        <v>1</v>
      </c>
      <c r="G58" s="6" t="s">
        <v>138</v>
      </c>
    </row>
    <row r="59" customFormat="false" ht="15" hidden="false" customHeight="false" outlineLevel="0" collapsed="false">
      <c r="A59" s="6" t="s">
        <v>272</v>
      </c>
      <c r="B59" s="6" t="s">
        <v>273</v>
      </c>
      <c r="C59" s="6" t="s">
        <v>264</v>
      </c>
      <c r="D59" s="6" t="s">
        <v>129</v>
      </c>
      <c r="E59" s="6" t="n">
        <v>3</v>
      </c>
      <c r="F59" s="6" t="n">
        <v>1</v>
      </c>
      <c r="G59" s="6" t="s">
        <v>138</v>
      </c>
    </row>
    <row r="60" customFormat="false" ht="15" hidden="false" customHeight="false" outlineLevel="0" collapsed="false">
      <c r="A60" s="6" t="s">
        <v>274</v>
      </c>
      <c r="B60" s="6" t="s">
        <v>275</v>
      </c>
      <c r="C60" s="6" t="s">
        <v>264</v>
      </c>
      <c r="D60" s="6" t="s">
        <v>129</v>
      </c>
      <c r="E60" s="6" t="n">
        <v>1</v>
      </c>
      <c r="F60" s="6" t="n">
        <v>0</v>
      </c>
      <c r="G60" s="6" t="s">
        <v>133</v>
      </c>
    </row>
    <row r="61" customFormat="false" ht="15" hidden="false" customHeight="false" outlineLevel="0" collapsed="false">
      <c r="A61" s="6" t="s">
        <v>276</v>
      </c>
      <c r="B61" s="6" t="s">
        <v>277</v>
      </c>
      <c r="C61" s="6" t="s">
        <v>264</v>
      </c>
      <c r="D61" s="6" t="s">
        <v>129</v>
      </c>
      <c r="E61" s="6" t="n">
        <v>1</v>
      </c>
      <c r="F61" s="6" t="n">
        <v>0</v>
      </c>
      <c r="G61" s="6" t="s">
        <v>133</v>
      </c>
    </row>
    <row r="62" customFormat="false" ht="15" hidden="false" customHeight="false" outlineLevel="0" collapsed="false">
      <c r="A62" s="6" t="s">
        <v>278</v>
      </c>
      <c r="B62" s="6" t="s">
        <v>279</v>
      </c>
      <c r="C62" s="6" t="s">
        <v>264</v>
      </c>
      <c r="D62" s="6" t="s">
        <v>129</v>
      </c>
      <c r="E62" s="6" t="n">
        <v>1</v>
      </c>
      <c r="F62" s="6" t="n">
        <v>0</v>
      </c>
      <c r="G62" s="6" t="s">
        <v>280</v>
      </c>
    </row>
    <row r="63" customFormat="false" ht="15" hidden="false" customHeight="false" outlineLevel="0" collapsed="false">
      <c r="A63" s="6" t="s">
        <v>281</v>
      </c>
      <c r="B63" s="6" t="s">
        <v>282</v>
      </c>
      <c r="C63" s="6" t="s">
        <v>264</v>
      </c>
      <c r="D63" s="6" t="s">
        <v>129</v>
      </c>
      <c r="E63" s="6" t="n">
        <v>2</v>
      </c>
      <c r="F63" s="6" t="n">
        <v>0</v>
      </c>
      <c r="G63" s="6" t="s">
        <v>218</v>
      </c>
    </row>
    <row r="64" customFormat="false" ht="15" hidden="false" customHeight="false" outlineLevel="0" collapsed="false">
      <c r="A64" s="6" t="s">
        <v>283</v>
      </c>
      <c r="B64" s="6" t="s">
        <v>284</v>
      </c>
      <c r="C64" s="6" t="s">
        <v>264</v>
      </c>
      <c r="D64" s="6" t="s">
        <v>129</v>
      </c>
      <c r="E64" s="6" t="n">
        <v>1</v>
      </c>
      <c r="F64" s="6" t="n">
        <v>0</v>
      </c>
      <c r="G64" s="6" t="s">
        <v>280</v>
      </c>
    </row>
    <row r="65" customFormat="false" ht="15" hidden="false" customHeight="false" outlineLevel="0" collapsed="false">
      <c r="A65" s="6" t="s">
        <v>285</v>
      </c>
      <c r="B65" s="6" t="s">
        <v>286</v>
      </c>
      <c r="C65" s="6" t="s">
        <v>264</v>
      </c>
      <c r="D65" s="6" t="s">
        <v>129</v>
      </c>
      <c r="E65" s="6" t="n">
        <v>1</v>
      </c>
      <c r="F65" s="6" t="n">
        <v>0</v>
      </c>
      <c r="G65" s="6" t="s">
        <v>133</v>
      </c>
    </row>
    <row r="66" customFormat="false" ht="15" hidden="false" customHeight="false" outlineLevel="0" collapsed="false">
      <c r="A66" s="6" t="s">
        <v>287</v>
      </c>
      <c r="B66" s="6" t="s">
        <v>288</v>
      </c>
      <c r="C66" s="6" t="s">
        <v>264</v>
      </c>
      <c r="D66" s="6"/>
      <c r="E66" s="6" t="n">
        <v>0</v>
      </c>
      <c r="F66" s="6" t="n">
        <v>0</v>
      </c>
      <c r="G66" s="6" t="s">
        <v>211</v>
      </c>
    </row>
    <row r="67" customFormat="false" ht="15" hidden="false" customHeight="false" outlineLevel="0" collapsed="false">
      <c r="A67" s="6" t="s">
        <v>289</v>
      </c>
      <c r="B67" s="6" t="s">
        <v>290</v>
      </c>
      <c r="C67" s="6" t="s">
        <v>264</v>
      </c>
      <c r="D67" s="6" t="s">
        <v>129</v>
      </c>
      <c r="E67" s="6" t="n">
        <v>2</v>
      </c>
      <c r="F67" s="6" t="n">
        <v>1</v>
      </c>
      <c r="G67" s="6" t="s">
        <v>138</v>
      </c>
    </row>
    <row r="68" customFormat="false" ht="15" hidden="false" customHeight="false" outlineLevel="0" collapsed="false">
      <c r="A68" s="6" t="s">
        <v>291</v>
      </c>
      <c r="B68" s="6" t="s">
        <v>292</v>
      </c>
      <c r="C68" s="6" t="s">
        <v>264</v>
      </c>
      <c r="D68" s="6" t="s">
        <v>129</v>
      </c>
      <c r="E68" s="6" t="n">
        <v>5</v>
      </c>
      <c r="F68" s="6" t="n">
        <v>3</v>
      </c>
      <c r="G68" s="6" t="s">
        <v>189</v>
      </c>
    </row>
    <row r="69" customFormat="false" ht="15" hidden="false" customHeight="false" outlineLevel="0" collapsed="false">
      <c r="A69" s="6" t="s">
        <v>293</v>
      </c>
      <c r="B69" s="6" t="s">
        <v>294</v>
      </c>
      <c r="C69" s="6" t="s">
        <v>264</v>
      </c>
      <c r="D69" s="6" t="s">
        <v>129</v>
      </c>
      <c r="E69" s="6" t="n">
        <v>2</v>
      </c>
      <c r="F69" s="6" t="n">
        <v>0</v>
      </c>
      <c r="G69" s="6" t="s">
        <v>295</v>
      </c>
    </row>
    <row r="70" customFormat="false" ht="15" hidden="false" customHeight="false" outlineLevel="0" collapsed="false">
      <c r="A70" s="6" t="s">
        <v>296</v>
      </c>
      <c r="B70" s="6" t="s">
        <v>297</v>
      </c>
      <c r="C70" s="6" t="s">
        <v>264</v>
      </c>
      <c r="D70" s="6" t="s">
        <v>129</v>
      </c>
      <c r="E70" s="6" t="n">
        <v>1</v>
      </c>
      <c r="F70" s="6" t="n">
        <v>0</v>
      </c>
      <c r="G70" s="6" t="s">
        <v>280</v>
      </c>
    </row>
    <row r="71" customFormat="false" ht="15" hidden="false" customHeight="false" outlineLevel="0" collapsed="false">
      <c r="A71" s="6" t="s">
        <v>298</v>
      </c>
      <c r="B71" s="6" t="s">
        <v>299</v>
      </c>
      <c r="C71" s="6" t="s">
        <v>264</v>
      </c>
      <c r="D71" s="6" t="s">
        <v>129</v>
      </c>
      <c r="E71" s="6" t="n">
        <v>4</v>
      </c>
      <c r="F71" s="6" t="n">
        <v>0</v>
      </c>
      <c r="G71" s="6" t="s">
        <v>300</v>
      </c>
    </row>
    <row r="72" customFormat="false" ht="15" hidden="false" customHeight="false" outlineLevel="0" collapsed="false">
      <c r="A72" s="6" t="s">
        <v>301</v>
      </c>
      <c r="B72" s="6" t="s">
        <v>302</v>
      </c>
      <c r="C72" s="6" t="s">
        <v>303</v>
      </c>
      <c r="D72" s="6" t="s">
        <v>129</v>
      </c>
      <c r="E72" s="6" t="n">
        <v>0</v>
      </c>
      <c r="F72" s="6" t="n">
        <v>0</v>
      </c>
      <c r="G72" s="6" t="s">
        <v>304</v>
      </c>
    </row>
    <row r="73" customFormat="false" ht="15" hidden="false" customHeight="false" outlineLevel="0" collapsed="false">
      <c r="A73" s="6" t="s">
        <v>305</v>
      </c>
      <c r="B73" s="6" t="s">
        <v>306</v>
      </c>
      <c r="C73" s="6" t="s">
        <v>303</v>
      </c>
      <c r="D73" s="6" t="s">
        <v>129</v>
      </c>
      <c r="E73" s="6" t="n">
        <v>6</v>
      </c>
      <c r="F73" s="6" t="n">
        <v>1</v>
      </c>
      <c r="G73" s="6" t="s">
        <v>307</v>
      </c>
    </row>
    <row r="74" customFormat="false" ht="15" hidden="false" customHeight="false" outlineLevel="0" collapsed="false">
      <c r="A74" s="6" t="s">
        <v>308</v>
      </c>
      <c r="B74" s="6" t="s">
        <v>309</v>
      </c>
      <c r="C74" s="6" t="s">
        <v>303</v>
      </c>
      <c r="D74" s="6" t="s">
        <v>129</v>
      </c>
      <c r="E74" s="6" t="n">
        <v>0</v>
      </c>
      <c r="F74" s="6" t="n">
        <v>0</v>
      </c>
      <c r="G74" s="6" t="s">
        <v>310</v>
      </c>
    </row>
    <row r="75" customFormat="false" ht="15" hidden="false" customHeight="false" outlineLevel="0" collapsed="false">
      <c r="A75" s="6" t="s">
        <v>311</v>
      </c>
      <c r="B75" s="6" t="s">
        <v>312</v>
      </c>
      <c r="C75" s="6" t="s">
        <v>303</v>
      </c>
      <c r="D75" s="6" t="s">
        <v>129</v>
      </c>
      <c r="E75" s="6" t="n">
        <v>5</v>
      </c>
      <c r="F75" s="6" t="n">
        <v>0</v>
      </c>
      <c r="G75" s="6" t="s">
        <v>313</v>
      </c>
    </row>
    <row r="76" customFormat="false" ht="15" hidden="false" customHeight="false" outlineLevel="0" collapsed="false">
      <c r="A76" s="6" t="s">
        <v>314</v>
      </c>
      <c r="B76" s="6" t="s">
        <v>315</v>
      </c>
      <c r="C76" s="6" t="s">
        <v>303</v>
      </c>
      <c r="D76" s="6" t="s">
        <v>129</v>
      </c>
      <c r="E76" s="6" t="n">
        <v>0</v>
      </c>
      <c r="F76" s="6" t="n">
        <v>0</v>
      </c>
      <c r="G76" s="6" t="s">
        <v>316</v>
      </c>
    </row>
    <row r="77" customFormat="false" ht="15" hidden="false" customHeight="false" outlineLevel="0" collapsed="false">
      <c r="A77" s="6" t="s">
        <v>317</v>
      </c>
      <c r="B77" s="6" t="s">
        <v>318</v>
      </c>
      <c r="C77" s="6" t="s">
        <v>303</v>
      </c>
      <c r="D77" s="6" t="s">
        <v>129</v>
      </c>
      <c r="E77" s="6" t="n">
        <v>0</v>
      </c>
      <c r="F77" s="6" t="n">
        <v>0</v>
      </c>
      <c r="G77" s="6" t="s">
        <v>319</v>
      </c>
    </row>
    <row r="78" customFormat="false" ht="15" hidden="false" customHeight="false" outlineLevel="0" collapsed="false">
      <c r="A78" s="6" t="s">
        <v>320</v>
      </c>
      <c r="B78" s="6" t="s">
        <v>321</v>
      </c>
      <c r="C78" s="6" t="s">
        <v>303</v>
      </c>
      <c r="D78" s="6" t="s">
        <v>129</v>
      </c>
      <c r="E78" s="6" t="n">
        <v>0</v>
      </c>
      <c r="F78" s="6" t="n">
        <v>0</v>
      </c>
      <c r="G78" s="6" t="s">
        <v>322</v>
      </c>
    </row>
    <row r="79" customFormat="false" ht="15" hidden="false" customHeight="false" outlineLevel="0" collapsed="false">
      <c r="A79" s="6" t="s">
        <v>323</v>
      </c>
      <c r="B79" s="6" t="s">
        <v>324</v>
      </c>
      <c r="C79" s="6" t="s">
        <v>303</v>
      </c>
      <c r="D79" s="6" t="s">
        <v>129</v>
      </c>
      <c r="E79" s="6" t="n">
        <v>2</v>
      </c>
      <c r="F79" s="6" t="n">
        <v>1</v>
      </c>
      <c r="G79" s="6" t="s">
        <v>138</v>
      </c>
    </row>
    <row r="80" customFormat="false" ht="15" hidden="false" customHeight="false" outlineLevel="0" collapsed="false">
      <c r="A80" s="6" t="s">
        <v>325</v>
      </c>
      <c r="B80" s="6" t="s">
        <v>326</v>
      </c>
      <c r="C80" s="6" t="s">
        <v>303</v>
      </c>
      <c r="D80" s="6"/>
      <c r="E80" s="6" t="n">
        <v>0</v>
      </c>
      <c r="F80" s="6" t="n">
        <v>0</v>
      </c>
      <c r="G80" s="6" t="s">
        <v>211</v>
      </c>
    </row>
    <row r="81" customFormat="false" ht="15" hidden="false" customHeight="false" outlineLevel="0" collapsed="false">
      <c r="A81" s="6" t="s">
        <v>327</v>
      </c>
      <c r="B81" s="6" t="s">
        <v>328</v>
      </c>
      <c r="C81" s="6" t="s">
        <v>303</v>
      </c>
      <c r="D81" s="6" t="s">
        <v>129</v>
      </c>
      <c r="E81" s="6" t="n">
        <v>2</v>
      </c>
      <c r="F81" s="6" t="n">
        <v>0</v>
      </c>
      <c r="G81" s="6" t="s">
        <v>329</v>
      </c>
    </row>
    <row r="82" customFormat="false" ht="15" hidden="false" customHeight="false" outlineLevel="0" collapsed="false">
      <c r="A82" s="6" t="s">
        <v>330</v>
      </c>
      <c r="B82" s="6" t="s">
        <v>331</v>
      </c>
      <c r="C82" s="6" t="s">
        <v>303</v>
      </c>
      <c r="D82" s="6"/>
      <c r="E82" s="6" t="n">
        <v>0</v>
      </c>
      <c r="F82" s="6" t="n">
        <v>0</v>
      </c>
      <c r="G82" s="6" t="s">
        <v>211</v>
      </c>
    </row>
    <row r="83" customFormat="false" ht="15" hidden="false" customHeight="false" outlineLevel="0" collapsed="false">
      <c r="A83" s="6" t="s">
        <v>332</v>
      </c>
      <c r="B83" s="6" t="s">
        <v>333</v>
      </c>
      <c r="C83" s="6" t="s">
        <v>303</v>
      </c>
      <c r="D83" s="6"/>
      <c r="E83" s="6" t="n">
        <v>0</v>
      </c>
      <c r="F83" s="6" t="n">
        <v>0</v>
      </c>
      <c r="G83" s="6" t="s">
        <v>211</v>
      </c>
    </row>
    <row r="84" customFormat="false" ht="15" hidden="false" customHeight="false" outlineLevel="0" collapsed="false">
      <c r="A84" s="6" t="s">
        <v>334</v>
      </c>
      <c r="B84" s="6" t="s">
        <v>335</v>
      </c>
      <c r="C84" s="6" t="s">
        <v>303</v>
      </c>
      <c r="D84" s="6" t="s">
        <v>129</v>
      </c>
      <c r="E84" s="6" t="n">
        <v>1</v>
      </c>
      <c r="F84" s="6" t="n">
        <v>0</v>
      </c>
      <c r="G84" s="6" t="s">
        <v>336</v>
      </c>
    </row>
    <row r="85" customFormat="false" ht="15" hidden="false" customHeight="false" outlineLevel="0" collapsed="false">
      <c r="A85" s="6" t="s">
        <v>337</v>
      </c>
      <c r="B85" s="6" t="s">
        <v>338</v>
      </c>
      <c r="C85" s="6" t="s">
        <v>303</v>
      </c>
      <c r="D85" s="6" t="s">
        <v>129</v>
      </c>
      <c r="E85" s="6" t="n">
        <v>0</v>
      </c>
      <c r="F85" s="6" t="n">
        <v>0</v>
      </c>
      <c r="G85" s="6" t="s">
        <v>339</v>
      </c>
    </row>
    <row r="86" customFormat="false" ht="15" hidden="false" customHeight="false" outlineLevel="0" collapsed="false">
      <c r="A86" s="6" t="s">
        <v>340</v>
      </c>
      <c r="B86" s="6" t="s">
        <v>341</v>
      </c>
      <c r="C86" s="6" t="s">
        <v>303</v>
      </c>
      <c r="D86" s="6"/>
      <c r="E86" s="6" t="n">
        <v>0</v>
      </c>
      <c r="F86" s="6" t="n">
        <v>0</v>
      </c>
      <c r="G86" s="6" t="s">
        <v>211</v>
      </c>
    </row>
    <row r="87" customFormat="false" ht="15" hidden="false" customHeight="false" outlineLevel="0" collapsed="false">
      <c r="A87" s="6" t="s">
        <v>342</v>
      </c>
      <c r="B87" s="6" t="s">
        <v>343</v>
      </c>
      <c r="C87" s="6" t="s">
        <v>303</v>
      </c>
      <c r="D87" s="6"/>
      <c r="E87" s="6" t="n">
        <v>0</v>
      </c>
      <c r="F87" s="6" t="n">
        <v>0</v>
      </c>
      <c r="G87" s="6" t="s">
        <v>211</v>
      </c>
    </row>
    <row r="88" customFormat="false" ht="15" hidden="false" customHeight="false" outlineLevel="0" collapsed="false">
      <c r="A88" s="6" t="s">
        <v>344</v>
      </c>
      <c r="B88" s="6" t="s">
        <v>345</v>
      </c>
      <c r="C88" s="6" t="s">
        <v>303</v>
      </c>
      <c r="D88" s="6"/>
      <c r="E88" s="6" t="n">
        <v>0</v>
      </c>
      <c r="F88" s="6" t="n">
        <v>0</v>
      </c>
      <c r="G88" s="6" t="s">
        <v>211</v>
      </c>
    </row>
    <row r="89" customFormat="false" ht="15" hidden="false" customHeight="false" outlineLevel="0" collapsed="false">
      <c r="A89" s="6" t="s">
        <v>346</v>
      </c>
      <c r="B89" s="6" t="s">
        <v>347</v>
      </c>
      <c r="C89" s="6" t="s">
        <v>303</v>
      </c>
      <c r="D89" s="6"/>
      <c r="E89" s="6" t="n">
        <v>0</v>
      </c>
      <c r="F89" s="6" t="n">
        <v>0</v>
      </c>
      <c r="G89" s="6" t="s">
        <v>211</v>
      </c>
    </row>
    <row r="90" customFormat="false" ht="15" hidden="false" customHeight="false" outlineLevel="0" collapsed="false">
      <c r="A90" s="6" t="s">
        <v>348</v>
      </c>
      <c r="B90" s="6" t="s">
        <v>349</v>
      </c>
      <c r="C90" s="6" t="s">
        <v>303</v>
      </c>
      <c r="D90" s="6"/>
      <c r="E90" s="6" t="n">
        <v>0</v>
      </c>
      <c r="F90" s="6" t="n">
        <v>0</v>
      </c>
      <c r="G90" s="6" t="s">
        <v>211</v>
      </c>
    </row>
    <row r="91" customFormat="false" ht="15" hidden="false" customHeight="false" outlineLevel="0" collapsed="false">
      <c r="A91" s="6" t="s">
        <v>350</v>
      </c>
      <c r="B91" s="6" t="s">
        <v>351</v>
      </c>
      <c r="C91" s="6" t="s">
        <v>303</v>
      </c>
      <c r="D91" s="6" t="s">
        <v>129</v>
      </c>
      <c r="E91" s="6" t="n">
        <v>0</v>
      </c>
      <c r="F91" s="6" t="n">
        <v>0</v>
      </c>
      <c r="G91" s="6" t="s">
        <v>352</v>
      </c>
    </row>
    <row r="92" customFormat="false" ht="15" hidden="false" customHeight="false" outlineLevel="0" collapsed="false">
      <c r="A92" s="6" t="s">
        <v>353</v>
      </c>
      <c r="B92" s="6" t="s">
        <v>354</v>
      </c>
      <c r="C92" s="6" t="s">
        <v>303</v>
      </c>
      <c r="D92" s="6"/>
      <c r="E92" s="6" t="n">
        <v>0</v>
      </c>
      <c r="F92" s="6" t="n">
        <v>0</v>
      </c>
      <c r="G92" s="6" t="s">
        <v>211</v>
      </c>
    </row>
    <row r="93" customFormat="false" ht="15" hidden="false" customHeight="false" outlineLevel="0" collapsed="false">
      <c r="A93" s="6" t="s">
        <v>355</v>
      </c>
      <c r="B93" s="6" t="s">
        <v>356</v>
      </c>
      <c r="C93" s="6" t="s">
        <v>303</v>
      </c>
      <c r="D93" s="6"/>
      <c r="E93" s="6" t="n">
        <v>0</v>
      </c>
      <c r="F93" s="6" t="n">
        <v>0</v>
      </c>
      <c r="G93" s="6" t="s">
        <v>211</v>
      </c>
    </row>
    <row r="94" customFormat="false" ht="15" hidden="false" customHeight="false" outlineLevel="0" collapsed="false">
      <c r="A94" s="6" t="s">
        <v>357</v>
      </c>
      <c r="B94" s="6" t="s">
        <v>358</v>
      </c>
      <c r="C94" s="6" t="s">
        <v>303</v>
      </c>
      <c r="D94" s="6" t="s">
        <v>129</v>
      </c>
      <c r="E94" s="6" t="n">
        <v>4</v>
      </c>
      <c r="F94" s="6" t="n">
        <v>1</v>
      </c>
      <c r="G94" s="6" t="s">
        <v>138</v>
      </c>
    </row>
    <row r="95" customFormat="false" ht="15" hidden="false" customHeight="false" outlineLevel="0" collapsed="false">
      <c r="A95" s="6" t="s">
        <v>359</v>
      </c>
      <c r="B95" s="6" t="s">
        <v>360</v>
      </c>
      <c r="C95" s="6" t="s">
        <v>303</v>
      </c>
      <c r="D95" s="6" t="s">
        <v>129</v>
      </c>
      <c r="E95" s="6" t="n">
        <v>2</v>
      </c>
      <c r="F95" s="6" t="n">
        <v>1</v>
      </c>
      <c r="G95" s="6" t="s">
        <v>138</v>
      </c>
    </row>
    <row r="96" customFormat="false" ht="15" hidden="false" customHeight="false" outlineLevel="0" collapsed="false">
      <c r="A96" s="6" t="s">
        <v>361</v>
      </c>
      <c r="B96" s="6" t="s">
        <v>362</v>
      </c>
      <c r="C96" s="6" t="s">
        <v>303</v>
      </c>
      <c r="D96" s="6"/>
      <c r="E96" s="6" t="n">
        <v>0</v>
      </c>
      <c r="F96" s="6" t="n">
        <v>0</v>
      </c>
      <c r="G96" s="6" t="s">
        <v>211</v>
      </c>
    </row>
    <row r="97" customFormat="false" ht="15" hidden="false" customHeight="false" outlineLevel="0" collapsed="false">
      <c r="A97" s="6" t="s">
        <v>363</v>
      </c>
      <c r="B97" s="6" t="s">
        <v>364</v>
      </c>
      <c r="C97" s="6" t="s">
        <v>303</v>
      </c>
      <c r="D97" s="6"/>
      <c r="E97" s="6" t="n">
        <v>0</v>
      </c>
      <c r="F97" s="6" t="n">
        <v>0</v>
      </c>
      <c r="G97" s="6" t="s">
        <v>211</v>
      </c>
    </row>
    <row r="98" customFormat="false" ht="15" hidden="false" customHeight="false" outlineLevel="0" collapsed="false">
      <c r="A98" s="6" t="s">
        <v>365</v>
      </c>
      <c r="B98" s="6" t="s">
        <v>366</v>
      </c>
      <c r="C98" s="6" t="s">
        <v>303</v>
      </c>
      <c r="D98" s="6"/>
      <c r="E98" s="6" t="n">
        <v>0</v>
      </c>
      <c r="F98" s="6" t="n">
        <v>0</v>
      </c>
      <c r="G98" s="6" t="s">
        <v>211</v>
      </c>
    </row>
    <row r="99" customFormat="false" ht="15" hidden="false" customHeight="false" outlineLevel="0" collapsed="false">
      <c r="A99" s="6" t="s">
        <v>367</v>
      </c>
      <c r="B99" s="6" t="s">
        <v>368</v>
      </c>
      <c r="C99" s="6" t="s">
        <v>303</v>
      </c>
      <c r="D99" s="6"/>
      <c r="E99" s="6" t="n">
        <v>0</v>
      </c>
      <c r="F99" s="6" t="n">
        <v>0</v>
      </c>
      <c r="G99" s="6" t="s">
        <v>211</v>
      </c>
    </row>
    <row r="100" customFormat="false" ht="15" hidden="false" customHeight="false" outlineLevel="0" collapsed="false">
      <c r="A100" s="6" t="s">
        <v>369</v>
      </c>
      <c r="B100" s="6" t="s">
        <v>370</v>
      </c>
      <c r="C100" s="6" t="s">
        <v>303</v>
      </c>
      <c r="D100" s="6"/>
      <c r="E100" s="6" t="n">
        <v>0</v>
      </c>
      <c r="F100" s="6" t="n">
        <v>0</v>
      </c>
      <c r="G100" s="6" t="s">
        <v>211</v>
      </c>
    </row>
    <row r="101" customFormat="false" ht="15" hidden="false" customHeight="false" outlineLevel="0" collapsed="false">
      <c r="A101" s="6" t="s">
        <v>371</v>
      </c>
      <c r="B101" s="6" t="s">
        <v>372</v>
      </c>
      <c r="C101" s="6" t="s">
        <v>303</v>
      </c>
      <c r="D101" s="6" t="s">
        <v>129</v>
      </c>
      <c r="E101" s="6" t="n">
        <v>0</v>
      </c>
      <c r="F101" s="6" t="n">
        <v>0</v>
      </c>
      <c r="G101" s="6" t="s">
        <v>373</v>
      </c>
    </row>
    <row r="102" customFormat="false" ht="15" hidden="false" customHeight="false" outlineLevel="0" collapsed="false">
      <c r="A102" s="6" t="s">
        <v>374</v>
      </c>
      <c r="B102" s="6" t="s">
        <v>375</v>
      </c>
      <c r="C102" s="6" t="s">
        <v>376</v>
      </c>
      <c r="D102" s="6" t="s">
        <v>129</v>
      </c>
      <c r="E102" s="6" t="n">
        <v>2</v>
      </c>
      <c r="F102" s="6" t="n">
        <v>1</v>
      </c>
      <c r="G102" s="6"/>
    </row>
    <row r="103" customFormat="false" ht="15" hidden="false" customHeight="false" outlineLevel="0" collapsed="false">
      <c r="A103" s="6" t="s">
        <v>374</v>
      </c>
      <c r="B103" s="6" t="s">
        <v>377</v>
      </c>
      <c r="C103" s="6" t="s">
        <v>376</v>
      </c>
      <c r="D103" s="6" t="s">
        <v>129</v>
      </c>
      <c r="E103" s="6" t="n">
        <v>1</v>
      </c>
      <c r="F103" s="6" t="n">
        <v>1</v>
      </c>
      <c r="G103" s="6"/>
    </row>
    <row r="104" customFormat="false" ht="15" hidden="false" customHeight="false" outlineLevel="0" collapsed="false">
      <c r="A104" s="6" t="s">
        <v>374</v>
      </c>
      <c r="B104" s="6" t="s">
        <v>378</v>
      </c>
      <c r="C104" s="6" t="s">
        <v>376</v>
      </c>
      <c r="D104" s="6" t="s">
        <v>129</v>
      </c>
      <c r="E104" s="6" t="n">
        <v>1</v>
      </c>
      <c r="F104" s="6" t="n">
        <v>1</v>
      </c>
      <c r="G104" s="6"/>
    </row>
    <row r="105" customFormat="false" ht="15" hidden="false" customHeight="false" outlineLevel="0" collapsed="false">
      <c r="A105" s="6" t="s">
        <v>374</v>
      </c>
      <c r="B105" s="6" t="s">
        <v>379</v>
      </c>
      <c r="C105" s="6" t="s">
        <v>376</v>
      </c>
      <c r="D105" s="6" t="s">
        <v>129</v>
      </c>
      <c r="E105" s="6" t="n">
        <v>1</v>
      </c>
      <c r="F105" s="6" t="n">
        <v>1</v>
      </c>
      <c r="G105" s="6"/>
    </row>
    <row r="106" customFormat="false" ht="15" hidden="false" customHeight="false" outlineLevel="0" collapsed="false">
      <c r="A106" s="6" t="s">
        <v>374</v>
      </c>
      <c r="B106" s="6" t="s">
        <v>380</v>
      </c>
      <c r="C106" s="6" t="s">
        <v>376</v>
      </c>
      <c r="D106" s="6" t="s">
        <v>129</v>
      </c>
      <c r="E106" s="6" t="n">
        <v>2</v>
      </c>
      <c r="F106" s="6" t="n">
        <v>1</v>
      </c>
      <c r="G106" s="6"/>
    </row>
    <row r="107" customFormat="false" ht="15" hidden="false" customHeight="false" outlineLevel="0" collapsed="false">
      <c r="A107" s="6" t="s">
        <v>374</v>
      </c>
      <c r="B107" s="6" t="s">
        <v>381</v>
      </c>
      <c r="C107" s="6" t="s">
        <v>376</v>
      </c>
      <c r="D107" s="6" t="s">
        <v>129</v>
      </c>
      <c r="E107" s="6" t="n">
        <v>1</v>
      </c>
      <c r="F107" s="6" t="n">
        <v>1</v>
      </c>
      <c r="G107" s="6"/>
    </row>
    <row r="108" customFormat="false" ht="15" hidden="false" customHeight="false" outlineLevel="0" collapsed="false">
      <c r="A108" s="6" t="s">
        <v>374</v>
      </c>
      <c r="B108" s="6" t="s">
        <v>382</v>
      </c>
      <c r="C108" s="6" t="s">
        <v>376</v>
      </c>
      <c r="D108" s="6" t="s">
        <v>129</v>
      </c>
      <c r="E108" s="6" t="n">
        <v>1</v>
      </c>
      <c r="F108" s="6" t="n">
        <v>1</v>
      </c>
      <c r="G108" s="6"/>
    </row>
    <row r="109" customFormat="false" ht="15" hidden="false" customHeight="false" outlineLevel="0" collapsed="false">
      <c r="A109" s="6" t="s">
        <v>374</v>
      </c>
      <c r="B109" s="6" t="s">
        <v>383</v>
      </c>
      <c r="C109" s="6" t="s">
        <v>376</v>
      </c>
      <c r="D109" s="6" t="s">
        <v>129</v>
      </c>
      <c r="E109" s="6" t="n">
        <v>1</v>
      </c>
      <c r="F109" s="6" t="n">
        <v>1</v>
      </c>
      <c r="G109" s="6"/>
    </row>
    <row r="110" customFormat="false" ht="15" hidden="false" customHeight="false" outlineLevel="0" collapsed="false">
      <c r="A110" s="6" t="s">
        <v>374</v>
      </c>
      <c r="B110" s="6" t="s">
        <v>384</v>
      </c>
      <c r="C110" s="6" t="s">
        <v>376</v>
      </c>
      <c r="D110" s="6" t="s">
        <v>129</v>
      </c>
      <c r="E110" s="6" t="n">
        <v>1</v>
      </c>
      <c r="F110" s="6" t="n">
        <v>1</v>
      </c>
      <c r="G110" s="6"/>
    </row>
    <row r="111" customFormat="false" ht="15" hidden="false" customHeight="false" outlineLevel="0" collapsed="false">
      <c r="A111" s="6" t="s">
        <v>374</v>
      </c>
      <c r="B111" s="6" t="s">
        <v>385</v>
      </c>
      <c r="C111" s="6" t="s">
        <v>376</v>
      </c>
      <c r="D111" s="6" t="s">
        <v>129</v>
      </c>
      <c r="E111" s="6" t="n">
        <v>1</v>
      </c>
      <c r="F111" s="6" t="n">
        <v>1</v>
      </c>
      <c r="G111" s="6"/>
    </row>
    <row r="112" customFormat="false" ht="15" hidden="false" customHeight="false" outlineLevel="0" collapsed="false">
      <c r="A112" s="6" t="s">
        <v>374</v>
      </c>
      <c r="B112" s="6" t="s">
        <v>386</v>
      </c>
      <c r="C112" s="6" t="s">
        <v>376</v>
      </c>
      <c r="D112" s="6" t="s">
        <v>129</v>
      </c>
      <c r="E112" s="6" t="n">
        <v>2</v>
      </c>
      <c r="F112" s="6" t="n">
        <v>1</v>
      </c>
      <c r="G112" s="6"/>
    </row>
    <row r="113" customFormat="false" ht="15" hidden="false" customHeight="false" outlineLevel="0" collapsed="false">
      <c r="A113" s="6" t="s">
        <v>374</v>
      </c>
      <c r="B113" s="6" t="s">
        <v>387</v>
      </c>
      <c r="C113" s="6" t="s">
        <v>376</v>
      </c>
      <c r="D113" s="6" t="s">
        <v>129</v>
      </c>
      <c r="E113" s="6" t="n">
        <v>2</v>
      </c>
      <c r="F113" s="6" t="n">
        <v>0</v>
      </c>
      <c r="G113" s="6" t="s">
        <v>388</v>
      </c>
    </row>
    <row r="114" customFormat="false" ht="15" hidden="false" customHeight="false" outlineLevel="0" collapsed="false">
      <c r="A114" s="6" t="s">
        <v>374</v>
      </c>
      <c r="B114" s="6" t="s">
        <v>389</v>
      </c>
      <c r="C114" s="6" t="s">
        <v>376</v>
      </c>
      <c r="D114" s="6" t="s">
        <v>129</v>
      </c>
      <c r="E114" s="6" t="n">
        <v>1</v>
      </c>
      <c r="F114" s="6" t="n">
        <v>0</v>
      </c>
      <c r="G114" s="6" t="s">
        <v>388</v>
      </c>
    </row>
    <row r="115" customFormat="false" ht="15" hidden="false" customHeight="false" outlineLevel="0" collapsed="false">
      <c r="A115" s="6" t="s">
        <v>374</v>
      </c>
      <c r="B115" s="6" t="s">
        <v>390</v>
      </c>
      <c r="C115" s="6" t="s">
        <v>376</v>
      </c>
      <c r="D115" s="6" t="s">
        <v>129</v>
      </c>
      <c r="E115" s="6" t="n">
        <v>3</v>
      </c>
      <c r="F115" s="6" t="n">
        <v>0</v>
      </c>
      <c r="G115" s="6" t="s">
        <v>388</v>
      </c>
    </row>
    <row r="116" customFormat="false" ht="15" hidden="false" customHeight="false" outlineLevel="0" collapsed="false">
      <c r="A116" s="6" t="s">
        <v>374</v>
      </c>
      <c r="B116" s="6" t="s">
        <v>391</v>
      </c>
      <c r="C116" s="6" t="s">
        <v>376</v>
      </c>
      <c r="D116" s="6" t="s">
        <v>129</v>
      </c>
      <c r="E116" s="6" t="n">
        <v>1</v>
      </c>
      <c r="F116" s="6" t="n">
        <v>0</v>
      </c>
      <c r="G116" s="6"/>
    </row>
    <row r="117" customFormat="false" ht="15" hidden="false" customHeight="false" outlineLevel="0" collapsed="false">
      <c r="A117" s="6" t="s">
        <v>374</v>
      </c>
      <c r="B117" s="6" t="s">
        <v>392</v>
      </c>
      <c r="C117" s="6" t="s">
        <v>376</v>
      </c>
      <c r="D117" s="6" t="s">
        <v>129</v>
      </c>
      <c r="E117" s="6" t="n">
        <v>1</v>
      </c>
      <c r="F117" s="6" t="n">
        <v>0</v>
      </c>
      <c r="G117" s="6"/>
    </row>
    <row r="118" customFormat="false" ht="15" hidden="false" customHeight="false" outlineLevel="0" collapsed="false">
      <c r="A118" s="6" t="s">
        <v>374</v>
      </c>
      <c r="B118" s="6" t="s">
        <v>393</v>
      </c>
      <c r="C118" s="6" t="s">
        <v>376</v>
      </c>
      <c r="D118" s="6" t="s">
        <v>129</v>
      </c>
      <c r="E118" s="6" t="n">
        <v>2</v>
      </c>
      <c r="F118" s="6" t="n">
        <v>0</v>
      </c>
      <c r="G118" s="6"/>
    </row>
    <row r="119" customFormat="false" ht="15" hidden="false" customHeight="false" outlineLevel="0" collapsed="false">
      <c r="A119" s="6" t="s">
        <v>374</v>
      </c>
      <c r="B119" s="6" t="s">
        <v>394</v>
      </c>
      <c r="C119" s="6" t="s">
        <v>376</v>
      </c>
      <c r="D119" s="6" t="s">
        <v>129</v>
      </c>
      <c r="E119" s="6" t="n">
        <v>1</v>
      </c>
      <c r="F119" s="6" t="n">
        <v>0</v>
      </c>
      <c r="G119" s="6"/>
    </row>
    <row r="120" customFormat="false" ht="15" hidden="false" customHeight="false" outlineLevel="0" collapsed="false">
      <c r="A120" s="6" t="s">
        <v>374</v>
      </c>
      <c r="B120" s="6" t="s">
        <v>395</v>
      </c>
      <c r="C120" s="6" t="s">
        <v>376</v>
      </c>
      <c r="D120" s="6" t="s">
        <v>129</v>
      </c>
      <c r="E120" s="6" t="n">
        <v>2</v>
      </c>
      <c r="F120" s="6" t="n">
        <v>0</v>
      </c>
      <c r="G120" s="6"/>
    </row>
    <row r="121" customFormat="false" ht="15" hidden="false" customHeight="false" outlineLevel="0" collapsed="false">
      <c r="A121" s="6" t="s">
        <v>374</v>
      </c>
      <c r="B121" s="6" t="s">
        <v>396</v>
      </c>
      <c r="C121" s="6" t="s">
        <v>376</v>
      </c>
      <c r="D121" s="6" t="s">
        <v>129</v>
      </c>
      <c r="E121" s="6" t="n">
        <v>1</v>
      </c>
      <c r="F121" s="6" t="n">
        <v>0</v>
      </c>
      <c r="G121" s="6"/>
    </row>
    <row r="122" customFormat="false" ht="15" hidden="false" customHeight="false" outlineLevel="0" collapsed="false">
      <c r="A122" s="6" t="s">
        <v>374</v>
      </c>
      <c r="B122" s="6" t="s">
        <v>397</v>
      </c>
      <c r="C122" s="6" t="s">
        <v>376</v>
      </c>
      <c r="D122" s="6" t="s">
        <v>129</v>
      </c>
      <c r="E122" s="6" t="n">
        <v>1</v>
      </c>
      <c r="F122" s="6" t="n">
        <v>0</v>
      </c>
      <c r="G122" s="6"/>
    </row>
    <row r="123" customFormat="false" ht="15" hidden="false" customHeight="false" outlineLevel="0" collapsed="false">
      <c r="A123" s="6" t="s">
        <v>374</v>
      </c>
      <c r="B123" s="6" t="s">
        <v>398</v>
      </c>
      <c r="C123" s="6" t="s">
        <v>376</v>
      </c>
      <c r="D123" s="6" t="s">
        <v>129</v>
      </c>
      <c r="E123" s="6" t="n">
        <v>1</v>
      </c>
      <c r="F123" s="6" t="n">
        <v>0</v>
      </c>
      <c r="G123" s="6"/>
    </row>
    <row r="124" customFormat="false" ht="15" hidden="false" customHeight="false" outlineLevel="0" collapsed="false">
      <c r="A124" s="6" t="s">
        <v>374</v>
      </c>
      <c r="B124" s="6" t="s">
        <v>399</v>
      </c>
      <c r="C124" s="6" t="s">
        <v>376</v>
      </c>
      <c r="D124" s="6" t="s">
        <v>129</v>
      </c>
      <c r="E124" s="6" t="n">
        <v>1</v>
      </c>
      <c r="F124" s="6" t="n">
        <v>0</v>
      </c>
      <c r="G124" s="6"/>
    </row>
    <row r="125" customFormat="false" ht="15" hidden="false" customHeight="false" outlineLevel="0" collapsed="false">
      <c r="A125" s="6" t="s">
        <v>374</v>
      </c>
      <c r="B125" s="6" t="s">
        <v>400</v>
      </c>
      <c r="C125" s="6" t="s">
        <v>376</v>
      </c>
      <c r="D125" s="6" t="s">
        <v>129</v>
      </c>
      <c r="E125" s="6" t="n">
        <v>1</v>
      </c>
      <c r="F125" s="6" t="n">
        <v>0</v>
      </c>
      <c r="G125" s="6"/>
    </row>
    <row r="126" customFormat="false" ht="15" hidden="false" customHeight="false" outlineLevel="0" collapsed="false">
      <c r="A126" s="6" t="s">
        <v>374</v>
      </c>
      <c r="B126" s="6" t="s">
        <v>401</v>
      </c>
      <c r="C126" s="6" t="s">
        <v>376</v>
      </c>
      <c r="D126" s="6" t="s">
        <v>129</v>
      </c>
      <c r="E126" s="6" t="n">
        <v>1</v>
      </c>
      <c r="F126" s="6" t="n">
        <v>0</v>
      </c>
      <c r="G126" s="6"/>
    </row>
    <row r="127" customFormat="false" ht="15" hidden="false" customHeight="false" outlineLevel="0" collapsed="false">
      <c r="A127" s="6" t="s">
        <v>374</v>
      </c>
      <c r="B127" s="6" t="s">
        <v>402</v>
      </c>
      <c r="C127" s="6" t="s">
        <v>376</v>
      </c>
      <c r="D127" s="6" t="s">
        <v>129</v>
      </c>
      <c r="E127" s="6" t="n">
        <v>1</v>
      </c>
      <c r="F127" s="6" t="n">
        <v>0</v>
      </c>
      <c r="G127" s="6"/>
    </row>
    <row r="128" customFormat="false" ht="15" hidden="false" customHeight="false" outlineLevel="0" collapsed="false">
      <c r="A128" s="6" t="s">
        <v>374</v>
      </c>
      <c r="B128" s="6" t="s">
        <v>403</v>
      </c>
      <c r="C128" s="6" t="s">
        <v>376</v>
      </c>
      <c r="D128" s="6" t="s">
        <v>129</v>
      </c>
      <c r="E128" s="6" t="n">
        <v>1</v>
      </c>
      <c r="F128" s="6" t="n">
        <v>0</v>
      </c>
      <c r="G128" s="6"/>
    </row>
    <row r="129" customFormat="false" ht="15" hidden="false" customHeight="false" outlineLevel="0" collapsed="false">
      <c r="A129" s="6" t="s">
        <v>374</v>
      </c>
      <c r="B129" s="6" t="s">
        <v>404</v>
      </c>
      <c r="C129" s="6" t="s">
        <v>376</v>
      </c>
      <c r="D129" s="6" t="s">
        <v>129</v>
      </c>
      <c r="E129" s="6" t="n">
        <v>1</v>
      </c>
      <c r="F129" s="6" t="n">
        <v>0</v>
      </c>
      <c r="G129" s="6"/>
    </row>
    <row r="130" customFormat="false" ht="15" hidden="false" customHeight="false" outlineLevel="0" collapsed="false">
      <c r="A130" s="6" t="s">
        <v>374</v>
      </c>
      <c r="B130" s="6" t="s">
        <v>405</v>
      </c>
      <c r="C130" s="6" t="s">
        <v>376</v>
      </c>
      <c r="D130" s="6" t="s">
        <v>129</v>
      </c>
      <c r="E130" s="6" t="n">
        <v>1</v>
      </c>
      <c r="F130" s="6" t="n">
        <v>0</v>
      </c>
      <c r="G130" s="6"/>
    </row>
    <row r="131" customFormat="false" ht="15" hidden="false" customHeight="false" outlineLevel="0" collapsed="false">
      <c r="A131" s="6" t="s">
        <v>374</v>
      </c>
      <c r="B131" s="6" t="s">
        <v>406</v>
      </c>
      <c r="C131" s="6" t="s">
        <v>376</v>
      </c>
      <c r="D131" s="6" t="s">
        <v>129</v>
      </c>
      <c r="E131" s="6" t="n">
        <v>1</v>
      </c>
      <c r="F131" s="6" t="n">
        <v>0</v>
      </c>
      <c r="G131" s="6"/>
    </row>
    <row r="132" customFormat="false" ht="15" hidden="false" customHeight="false" outlineLevel="0" collapsed="false">
      <c r="A132" s="6" t="s">
        <v>374</v>
      </c>
      <c r="B132" s="6" t="s">
        <v>407</v>
      </c>
      <c r="C132" s="6" t="s">
        <v>376</v>
      </c>
      <c r="D132" s="6" t="s">
        <v>129</v>
      </c>
      <c r="E132" s="6" t="n">
        <v>1</v>
      </c>
      <c r="F132" s="6" t="n">
        <v>0</v>
      </c>
      <c r="G132" s="6"/>
    </row>
    <row r="133" customFormat="false" ht="15" hidden="false" customHeight="false" outlineLevel="0" collapsed="false">
      <c r="A133" s="6" t="s">
        <v>374</v>
      </c>
      <c r="B133" s="6" t="s">
        <v>408</v>
      </c>
      <c r="C133" s="6" t="s">
        <v>376</v>
      </c>
      <c r="D133" s="6" t="s">
        <v>129</v>
      </c>
      <c r="E133" s="6" t="n">
        <v>1</v>
      </c>
      <c r="F133" s="6" t="n">
        <v>0</v>
      </c>
      <c r="G133" s="6"/>
    </row>
    <row r="134" customFormat="false" ht="15" hidden="false" customHeight="false" outlineLevel="0" collapsed="false">
      <c r="A134" s="6" t="s">
        <v>374</v>
      </c>
      <c r="B134" s="6" t="s">
        <v>409</v>
      </c>
      <c r="C134" s="6" t="s">
        <v>376</v>
      </c>
      <c r="D134" s="6" t="s">
        <v>129</v>
      </c>
      <c r="E134" s="6" t="n">
        <v>1</v>
      </c>
      <c r="F134" s="6" t="n">
        <v>0</v>
      </c>
      <c r="G134" s="6"/>
    </row>
    <row r="135" customFormat="false" ht="15" hidden="false" customHeight="false" outlineLevel="0" collapsed="false">
      <c r="A135" s="6" t="s">
        <v>374</v>
      </c>
      <c r="B135" s="6" t="s">
        <v>410</v>
      </c>
      <c r="C135" s="6" t="s">
        <v>376</v>
      </c>
      <c r="D135" s="6" t="s">
        <v>129</v>
      </c>
      <c r="E135" s="6" t="n">
        <v>1</v>
      </c>
      <c r="F135" s="6" t="n">
        <v>0</v>
      </c>
      <c r="G135" s="6"/>
    </row>
    <row r="136" customFormat="false" ht="15" hidden="false" customHeight="false" outlineLevel="0" collapsed="false">
      <c r="A136" s="6" t="s">
        <v>374</v>
      </c>
      <c r="B136" s="6" t="s">
        <v>411</v>
      </c>
      <c r="C136" s="6" t="s">
        <v>376</v>
      </c>
      <c r="D136" s="6" t="s">
        <v>129</v>
      </c>
      <c r="E136" s="6" t="n">
        <v>1</v>
      </c>
      <c r="F136" s="6" t="n">
        <v>0</v>
      </c>
      <c r="G136" s="6"/>
    </row>
    <row r="137" customFormat="false" ht="15" hidden="false" customHeight="false" outlineLevel="0" collapsed="false">
      <c r="A137" s="6" t="s">
        <v>374</v>
      </c>
      <c r="B137" s="6" t="s">
        <v>412</v>
      </c>
      <c r="C137" s="6" t="s">
        <v>376</v>
      </c>
      <c r="D137" s="6" t="s">
        <v>129</v>
      </c>
      <c r="E137" s="6" t="n">
        <v>1</v>
      </c>
      <c r="F137" s="6" t="n">
        <v>0</v>
      </c>
      <c r="G137" s="6"/>
    </row>
    <row r="138" customFormat="false" ht="15" hidden="false" customHeight="false" outlineLevel="0" collapsed="false">
      <c r="A138" s="6" t="s">
        <v>374</v>
      </c>
      <c r="B138" s="6" t="s">
        <v>413</v>
      </c>
      <c r="C138" s="6" t="s">
        <v>376</v>
      </c>
      <c r="D138" s="6" t="s">
        <v>129</v>
      </c>
      <c r="E138" s="6" t="n">
        <v>1</v>
      </c>
      <c r="F138" s="6" t="n">
        <v>0</v>
      </c>
      <c r="G138" s="6"/>
    </row>
    <row r="139" customFormat="false" ht="15" hidden="false" customHeight="false" outlineLevel="0" collapsed="false">
      <c r="A139" s="6" t="s">
        <v>374</v>
      </c>
      <c r="B139" s="6" t="s">
        <v>414</v>
      </c>
      <c r="C139" s="6" t="s">
        <v>376</v>
      </c>
      <c r="D139" s="6" t="s">
        <v>129</v>
      </c>
      <c r="E139" s="6" t="n">
        <v>1</v>
      </c>
      <c r="F139" s="6" t="n">
        <v>0</v>
      </c>
      <c r="G139" s="6"/>
    </row>
    <row r="140" customFormat="false" ht="15" hidden="false" customHeight="false" outlineLevel="0" collapsed="false">
      <c r="A140" s="6" t="s">
        <v>374</v>
      </c>
      <c r="B140" s="6" t="s">
        <v>415</v>
      </c>
      <c r="C140" s="6" t="s">
        <v>376</v>
      </c>
      <c r="D140" s="6" t="s">
        <v>129</v>
      </c>
      <c r="E140" s="6" t="n">
        <v>1</v>
      </c>
      <c r="F140" s="6" t="n">
        <v>0</v>
      </c>
      <c r="G140" s="6"/>
    </row>
    <row r="141" customFormat="false" ht="15" hidden="false" customHeight="false" outlineLevel="0" collapsed="false">
      <c r="A141" s="6" t="s">
        <v>374</v>
      </c>
      <c r="B141" s="6" t="s">
        <v>416</v>
      </c>
      <c r="C141" s="6" t="s">
        <v>376</v>
      </c>
      <c r="D141" s="6" t="s">
        <v>129</v>
      </c>
      <c r="E141" s="6" t="n">
        <v>1</v>
      </c>
      <c r="F141" s="6" t="n">
        <v>0</v>
      </c>
      <c r="G141" s="6"/>
    </row>
    <row r="142" customFormat="false" ht="15" hidden="false" customHeight="false" outlineLevel="0" collapsed="false">
      <c r="A142" s="6" t="s">
        <v>374</v>
      </c>
      <c r="B142" s="6" t="s">
        <v>417</v>
      </c>
      <c r="C142" s="6" t="s">
        <v>376</v>
      </c>
      <c r="D142" s="6" t="s">
        <v>129</v>
      </c>
      <c r="E142" s="6" t="n">
        <v>1</v>
      </c>
      <c r="F142" s="6" t="n">
        <v>0</v>
      </c>
      <c r="G142" s="6"/>
    </row>
    <row r="143" customFormat="false" ht="15" hidden="false" customHeight="false" outlineLevel="0" collapsed="false">
      <c r="A143" s="6" t="s">
        <v>374</v>
      </c>
      <c r="B143" s="6" t="s">
        <v>418</v>
      </c>
      <c r="C143" s="6" t="s">
        <v>376</v>
      </c>
      <c r="D143" s="6" t="s">
        <v>129</v>
      </c>
      <c r="E143" s="6" t="n">
        <v>1</v>
      </c>
      <c r="F143" s="6" t="n">
        <v>0</v>
      </c>
      <c r="G143" s="6"/>
    </row>
    <row r="144" customFormat="false" ht="15" hidden="false" customHeight="false" outlineLevel="0" collapsed="false">
      <c r="A144" s="6" t="s">
        <v>374</v>
      </c>
      <c r="B144" s="6" t="s">
        <v>419</v>
      </c>
      <c r="C144" s="6" t="s">
        <v>376</v>
      </c>
      <c r="D144" s="6" t="s">
        <v>129</v>
      </c>
      <c r="E144" s="6" t="n">
        <v>1</v>
      </c>
      <c r="F144" s="6" t="n">
        <v>0</v>
      </c>
      <c r="G144" s="6"/>
    </row>
    <row r="145" customFormat="false" ht="15" hidden="false" customHeight="false" outlineLevel="0" collapsed="false">
      <c r="A145" s="6" t="s">
        <v>374</v>
      </c>
      <c r="B145" s="6" t="s">
        <v>420</v>
      </c>
      <c r="C145" s="6" t="s">
        <v>376</v>
      </c>
      <c r="D145" s="6" t="s">
        <v>129</v>
      </c>
      <c r="E145" s="6" t="n">
        <v>2</v>
      </c>
      <c r="F145" s="6" t="n">
        <v>0</v>
      </c>
      <c r="G145" s="6" t="s">
        <v>388</v>
      </c>
    </row>
    <row r="146" customFormat="false" ht="15" hidden="false" customHeight="false" outlineLevel="0" collapsed="false">
      <c r="A146" s="6" t="s">
        <v>374</v>
      </c>
      <c r="B146" s="6" t="s">
        <v>421</v>
      </c>
      <c r="C146" s="6" t="s">
        <v>376</v>
      </c>
      <c r="D146" s="6" t="s">
        <v>129</v>
      </c>
      <c r="E146" s="6" t="n">
        <v>2</v>
      </c>
      <c r="F146" s="6" t="n">
        <v>0</v>
      </c>
      <c r="G146" s="6"/>
    </row>
    <row r="147" customFormat="false" ht="15" hidden="false" customHeight="false" outlineLevel="0" collapsed="false">
      <c r="A147" s="6" t="s">
        <v>374</v>
      </c>
      <c r="B147" s="6" t="s">
        <v>422</v>
      </c>
      <c r="C147" s="6" t="s">
        <v>376</v>
      </c>
      <c r="D147" s="6" t="s">
        <v>129</v>
      </c>
      <c r="E147" s="6" t="n">
        <v>2</v>
      </c>
      <c r="F147" s="6" t="n">
        <v>0</v>
      </c>
      <c r="G147" s="6" t="s">
        <v>388</v>
      </c>
    </row>
    <row r="148" customFormat="false" ht="15" hidden="false" customHeight="false" outlineLevel="0" collapsed="false">
      <c r="A148" s="6" t="s">
        <v>374</v>
      </c>
      <c r="B148" s="6" t="s">
        <v>423</v>
      </c>
      <c r="C148" s="6" t="s">
        <v>376</v>
      </c>
      <c r="D148" s="6" t="s">
        <v>129</v>
      </c>
      <c r="E148" s="6" t="n">
        <v>2</v>
      </c>
      <c r="F148" s="6" t="n">
        <v>0</v>
      </c>
      <c r="G148" s="6" t="s">
        <v>388</v>
      </c>
    </row>
    <row r="149" customFormat="false" ht="15" hidden="false" customHeight="false" outlineLevel="0" collapsed="false">
      <c r="A149" s="6" t="s">
        <v>374</v>
      </c>
      <c r="B149" s="6" t="s">
        <v>424</v>
      </c>
      <c r="C149" s="6" t="s">
        <v>376</v>
      </c>
      <c r="D149" s="6" t="s">
        <v>129</v>
      </c>
      <c r="E149" s="6" t="n">
        <v>1</v>
      </c>
      <c r="F149" s="6" t="n">
        <v>0</v>
      </c>
      <c r="G149" s="6"/>
    </row>
    <row r="150" customFormat="false" ht="15" hidden="false" customHeight="false" outlineLevel="0" collapsed="false">
      <c r="A150" s="6" t="s">
        <v>374</v>
      </c>
      <c r="B150" s="6" t="s">
        <v>425</v>
      </c>
      <c r="C150" s="6" t="s">
        <v>376</v>
      </c>
      <c r="D150" s="6" t="s">
        <v>129</v>
      </c>
      <c r="E150" s="6" t="n">
        <v>1</v>
      </c>
      <c r="F150" s="6" t="n">
        <v>0</v>
      </c>
      <c r="G150" s="6"/>
    </row>
    <row r="151" customFormat="false" ht="15" hidden="false" customHeight="false" outlineLevel="0" collapsed="false">
      <c r="A151" s="6" t="s">
        <v>374</v>
      </c>
      <c r="B151" s="6" t="s">
        <v>426</v>
      </c>
      <c r="C151" s="6" t="s">
        <v>376</v>
      </c>
      <c r="D151" s="6" t="s">
        <v>129</v>
      </c>
      <c r="E151" s="6" t="n">
        <v>1</v>
      </c>
      <c r="F151" s="6" t="n">
        <v>0</v>
      </c>
      <c r="G151" s="6"/>
    </row>
    <row r="152" customFormat="false" ht="15" hidden="false" customHeight="false" outlineLevel="0" collapsed="false">
      <c r="A152" s="6" t="s">
        <v>374</v>
      </c>
      <c r="B152" s="6" t="s">
        <v>427</v>
      </c>
      <c r="C152" s="6" t="s">
        <v>376</v>
      </c>
      <c r="D152" s="6" t="s">
        <v>129</v>
      </c>
      <c r="E152" s="6" t="n">
        <v>1</v>
      </c>
      <c r="F152" s="6" t="n">
        <v>0</v>
      </c>
      <c r="G152" s="6"/>
    </row>
    <row r="153" customFormat="false" ht="15" hidden="false" customHeight="false" outlineLevel="0" collapsed="false">
      <c r="A153" s="6" t="s">
        <v>374</v>
      </c>
      <c r="B153" s="6" t="s">
        <v>428</v>
      </c>
      <c r="C153" s="6" t="s">
        <v>376</v>
      </c>
      <c r="D153" s="6" t="s">
        <v>129</v>
      </c>
      <c r="E153" s="6" t="n">
        <v>1</v>
      </c>
      <c r="F153" s="6" t="n">
        <v>0</v>
      </c>
      <c r="G153" s="6"/>
    </row>
    <row r="154" customFormat="false" ht="15" hidden="false" customHeight="false" outlineLevel="0" collapsed="false">
      <c r="A154" s="6" t="s">
        <v>374</v>
      </c>
      <c r="B154" s="6" t="s">
        <v>429</v>
      </c>
      <c r="C154" s="6" t="s">
        <v>376</v>
      </c>
      <c r="D154" s="6" t="s">
        <v>129</v>
      </c>
      <c r="E154" s="6" t="n">
        <v>1</v>
      </c>
      <c r="F154" s="6" t="n">
        <v>0</v>
      </c>
      <c r="G154"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8"/>
    <col collapsed="false" customWidth="true" hidden="false" outlineLevel="0" max="6" min="6" style="0" width="22"/>
    <col collapsed="false" customWidth="true" hidden="false" outlineLevel="0" max="7" min="7" style="0" width="40"/>
    <col collapsed="false" customWidth="true" hidden="false" outlineLevel="0" max="8" min="8" style="0" width="18"/>
    <col collapsed="false" customWidth="true" hidden="false" outlineLevel="0" max="9" min="9" style="0" width="40"/>
    <col collapsed="false" customWidth="true" hidden="false" outlineLevel="0" max="13" min="10" style="0" width="18"/>
    <col collapsed="false" customWidth="true" hidden="false" outlineLevel="0" max="14" min="14" style="0" width="60"/>
    <col collapsed="false" customWidth="true" hidden="false" outlineLevel="0" max="19" min="15" style="0" width="18"/>
    <col collapsed="false" customWidth="true" hidden="false" outlineLevel="0" max="20" min="20" style="0" width="60"/>
    <col collapsed="false" customWidth="true" hidden="false" outlineLevel="0" max="21" min="21" style="0" width="50"/>
    <col collapsed="false" customWidth="true" hidden="false" outlineLevel="0" max="39" min="22" style="0" width="18"/>
    <col collapsed="false" customWidth="true" hidden="false" outlineLevel="0" max="40" min="40" style="0" width="60"/>
  </cols>
  <sheetData>
    <row r="1" customFormat="false" ht="26.85" hidden="false" customHeight="false" outlineLevel="0" collapsed="false">
      <c r="A1" s="5" t="s">
        <v>430</v>
      </c>
      <c r="B1" s="5" t="s">
        <v>431</v>
      </c>
      <c r="C1" s="5" t="s">
        <v>432</v>
      </c>
      <c r="D1" s="5" t="s">
        <v>433</v>
      </c>
      <c r="E1" s="5" t="s">
        <v>434</v>
      </c>
      <c r="F1" s="5" t="s">
        <v>435</v>
      </c>
      <c r="G1" s="5" t="s">
        <v>436</v>
      </c>
      <c r="H1" s="5" t="s">
        <v>437</v>
      </c>
      <c r="I1" s="5" t="s">
        <v>438</v>
      </c>
      <c r="J1" s="5" t="s">
        <v>439</v>
      </c>
      <c r="K1" s="5" t="s">
        <v>440</v>
      </c>
      <c r="L1" s="5" t="s">
        <v>441</v>
      </c>
      <c r="M1" s="5" t="s">
        <v>442</v>
      </c>
      <c r="N1" s="5" t="s">
        <v>443</v>
      </c>
      <c r="O1" s="5" t="s">
        <v>444</v>
      </c>
      <c r="P1" s="5" t="s">
        <v>445</v>
      </c>
      <c r="Q1" s="5" t="s">
        <v>446</v>
      </c>
      <c r="R1" s="5" t="s">
        <v>447</v>
      </c>
      <c r="S1" s="5" t="s">
        <v>448</v>
      </c>
      <c r="T1" s="5" t="s">
        <v>449</v>
      </c>
      <c r="U1" s="5" t="s">
        <v>450</v>
      </c>
      <c r="V1" s="5" t="s">
        <v>451</v>
      </c>
      <c r="W1" s="5" t="s">
        <v>452</v>
      </c>
      <c r="X1" s="5" t="s">
        <v>453</v>
      </c>
      <c r="Y1" s="5" t="s">
        <v>454</v>
      </c>
      <c r="Z1" s="5" t="s">
        <v>455</v>
      </c>
      <c r="AA1" s="5" t="s">
        <v>456</v>
      </c>
      <c r="AB1" s="5" t="s">
        <v>457</v>
      </c>
      <c r="AC1" s="5" t="s">
        <v>458</v>
      </c>
      <c r="AD1" s="5" t="s">
        <v>459</v>
      </c>
      <c r="AE1" s="5" t="s">
        <v>460</v>
      </c>
      <c r="AF1" s="5" t="s">
        <v>461</v>
      </c>
      <c r="AG1" s="5" t="s">
        <v>462</v>
      </c>
      <c r="AH1" s="5" t="s">
        <v>463</v>
      </c>
      <c r="AI1" s="5" t="s">
        <v>464</v>
      </c>
      <c r="AJ1" s="5" t="s">
        <v>465</v>
      </c>
      <c r="AK1" s="5" t="s">
        <v>466</v>
      </c>
      <c r="AL1" s="5" t="s">
        <v>467</v>
      </c>
      <c r="AM1" s="5" t="s">
        <v>468</v>
      </c>
      <c r="AN1" s="5" t="s">
        <v>469</v>
      </c>
    </row>
    <row r="2" customFormat="false" ht="15" hidden="false" customHeight="false" outlineLevel="0" collapsed="false">
      <c r="A2" s="6" t="s">
        <v>470</v>
      </c>
      <c r="B2" s="6" t="s">
        <v>141</v>
      </c>
      <c r="C2" s="6" t="s">
        <v>471</v>
      </c>
      <c r="D2" s="6" t="s">
        <v>471</v>
      </c>
      <c r="E2" s="6" t="s">
        <v>472</v>
      </c>
      <c r="F2" s="6" t="s">
        <v>142</v>
      </c>
      <c r="G2" s="6" t="s">
        <v>473</v>
      </c>
      <c r="H2" s="6" t="s">
        <v>474</v>
      </c>
      <c r="I2" s="6" t="s">
        <v>475</v>
      </c>
      <c r="J2" s="6" t="s">
        <v>476</v>
      </c>
      <c r="K2" s="6" t="s">
        <v>129</v>
      </c>
      <c r="L2" s="6" t="s">
        <v>477</v>
      </c>
      <c r="M2" s="6" t="s">
        <v>478</v>
      </c>
      <c r="N2" s="6" t="s">
        <v>479</v>
      </c>
      <c r="O2" s="6" t="s">
        <v>480</v>
      </c>
      <c r="P2" s="6" t="s">
        <v>481</v>
      </c>
      <c r="Q2" s="6" t="s">
        <v>482</v>
      </c>
      <c r="R2" s="6" t="s">
        <v>483</v>
      </c>
      <c r="S2" s="6" t="s">
        <v>484</v>
      </c>
      <c r="T2" s="6" t="s">
        <v>485</v>
      </c>
      <c r="U2" s="6" t="s">
        <v>484</v>
      </c>
      <c r="V2" s="6" t="s">
        <v>486</v>
      </c>
      <c r="W2" s="6" t="s">
        <v>484</v>
      </c>
      <c r="X2" s="6" t="s">
        <v>484</v>
      </c>
      <c r="Y2" s="6" t="s">
        <v>487</v>
      </c>
      <c r="Z2" s="6" t="s">
        <v>477</v>
      </c>
      <c r="AA2" s="6" t="s">
        <v>488</v>
      </c>
      <c r="AB2" s="6" t="s">
        <v>488</v>
      </c>
      <c r="AC2" s="6" t="s">
        <v>488</v>
      </c>
      <c r="AD2" s="6" t="s">
        <v>488</v>
      </c>
      <c r="AE2" s="6" t="s">
        <v>488</v>
      </c>
      <c r="AF2" s="6" t="s">
        <v>488</v>
      </c>
      <c r="AG2" s="6" t="s">
        <v>484</v>
      </c>
      <c r="AH2" s="6" t="s">
        <v>484</v>
      </c>
      <c r="AI2" s="6" t="s">
        <v>484</v>
      </c>
      <c r="AJ2" s="6" t="s">
        <v>484</v>
      </c>
      <c r="AK2" s="6" t="s">
        <v>489</v>
      </c>
      <c r="AL2" s="6" t="s">
        <v>484</v>
      </c>
      <c r="AM2" s="6" t="s">
        <v>484</v>
      </c>
      <c r="AN2" s="6" t="s">
        <v>490</v>
      </c>
    </row>
    <row r="3" customFormat="false" ht="15" hidden="false" customHeight="false" outlineLevel="0" collapsed="false">
      <c r="A3" s="6" t="s">
        <v>491</v>
      </c>
      <c r="B3" s="6" t="s">
        <v>141</v>
      </c>
      <c r="C3" s="6" t="s">
        <v>471</v>
      </c>
      <c r="D3" s="6" t="s">
        <v>471</v>
      </c>
      <c r="E3" s="6" t="s">
        <v>472</v>
      </c>
      <c r="F3" s="6" t="s">
        <v>142</v>
      </c>
      <c r="G3" s="6" t="s">
        <v>492</v>
      </c>
      <c r="H3" s="6" t="s">
        <v>493</v>
      </c>
      <c r="I3" s="6" t="s">
        <v>494</v>
      </c>
      <c r="J3" s="6" t="s">
        <v>476</v>
      </c>
      <c r="K3" s="6" t="s">
        <v>129</v>
      </c>
      <c r="L3" s="6" t="s">
        <v>477</v>
      </c>
      <c r="M3" s="6" t="s">
        <v>478</v>
      </c>
      <c r="N3" s="6" t="s">
        <v>495</v>
      </c>
      <c r="O3" s="6" t="s">
        <v>480</v>
      </c>
      <c r="P3" s="6" t="s">
        <v>481</v>
      </c>
      <c r="Q3" s="6" t="s">
        <v>496</v>
      </c>
      <c r="R3" s="6" t="s">
        <v>497</v>
      </c>
      <c r="S3" s="6" t="s">
        <v>498</v>
      </c>
      <c r="T3" s="6" t="s">
        <v>499</v>
      </c>
      <c r="U3" s="6" t="s">
        <v>500</v>
      </c>
      <c r="V3" s="6" t="s">
        <v>501</v>
      </c>
      <c r="W3" s="6" t="s">
        <v>502</v>
      </c>
      <c r="X3" s="6" t="s">
        <v>503</v>
      </c>
      <c r="Y3" s="6" t="s">
        <v>477</v>
      </c>
      <c r="Z3" s="6" t="s">
        <v>477</v>
      </c>
      <c r="AA3" s="6" t="s">
        <v>488</v>
      </c>
      <c r="AB3" s="6" t="s">
        <v>488</v>
      </c>
      <c r="AC3" s="6" t="s">
        <v>488</v>
      </c>
      <c r="AD3" s="6" t="s">
        <v>488</v>
      </c>
      <c r="AE3" s="6" t="s">
        <v>488</v>
      </c>
      <c r="AF3" s="6" t="s">
        <v>488</v>
      </c>
      <c r="AG3" s="6" t="s">
        <v>484</v>
      </c>
      <c r="AH3" s="6" t="s">
        <v>504</v>
      </c>
      <c r="AI3" s="6" t="s">
        <v>484</v>
      </c>
      <c r="AJ3" s="6" t="s">
        <v>484</v>
      </c>
      <c r="AK3" s="6" t="s">
        <v>505</v>
      </c>
      <c r="AL3" s="6" t="s">
        <v>484</v>
      </c>
      <c r="AM3" s="6" t="s">
        <v>484</v>
      </c>
      <c r="AN3" s="6" t="s">
        <v>506</v>
      </c>
    </row>
    <row r="4" customFormat="false" ht="15" hidden="false" customHeight="false" outlineLevel="0" collapsed="false">
      <c r="A4" s="6" t="s">
        <v>507</v>
      </c>
      <c r="B4" s="6" t="s">
        <v>143</v>
      </c>
      <c r="C4" s="6" t="s">
        <v>471</v>
      </c>
      <c r="D4" s="6" t="s">
        <v>471</v>
      </c>
      <c r="E4" s="6" t="s">
        <v>472</v>
      </c>
      <c r="F4" s="6" t="s">
        <v>508</v>
      </c>
      <c r="G4" s="6" t="s">
        <v>509</v>
      </c>
      <c r="H4" s="6" t="s">
        <v>510</v>
      </c>
      <c r="I4" s="6" t="s">
        <v>511</v>
      </c>
      <c r="J4" s="6" t="s">
        <v>512</v>
      </c>
      <c r="K4" s="6" t="s">
        <v>129</v>
      </c>
      <c r="L4" s="6" t="s">
        <v>477</v>
      </c>
      <c r="M4" s="6" t="s">
        <v>478</v>
      </c>
      <c r="N4" s="6" t="s">
        <v>513</v>
      </c>
      <c r="O4" s="6" t="s">
        <v>480</v>
      </c>
      <c r="P4" s="6" t="s">
        <v>514</v>
      </c>
      <c r="Q4" s="6" t="s">
        <v>515</v>
      </c>
      <c r="R4" s="6" t="s">
        <v>516</v>
      </c>
      <c r="S4" s="6" t="s">
        <v>517</v>
      </c>
      <c r="T4" s="6" t="s">
        <v>518</v>
      </c>
      <c r="U4" s="6" t="s">
        <v>519</v>
      </c>
      <c r="V4" s="6" t="s">
        <v>486</v>
      </c>
      <c r="W4" s="6" t="s">
        <v>520</v>
      </c>
      <c r="X4" s="6" t="s">
        <v>521</v>
      </c>
      <c r="Y4" s="6" t="s">
        <v>522</v>
      </c>
      <c r="Z4" s="6" t="s">
        <v>477</v>
      </c>
      <c r="AA4" s="6" t="s">
        <v>488</v>
      </c>
      <c r="AB4" s="6" t="s">
        <v>488</v>
      </c>
      <c r="AC4" s="6" t="s">
        <v>488</v>
      </c>
      <c r="AD4" s="6" t="s">
        <v>488</v>
      </c>
      <c r="AE4" s="6" t="s">
        <v>488</v>
      </c>
      <c r="AF4" s="6" t="s">
        <v>488</v>
      </c>
      <c r="AG4" s="6" t="s">
        <v>484</v>
      </c>
      <c r="AH4" s="6" t="s">
        <v>523</v>
      </c>
      <c r="AI4" s="6" t="s">
        <v>484</v>
      </c>
      <c r="AJ4" s="6" t="s">
        <v>484</v>
      </c>
      <c r="AK4" s="6" t="s">
        <v>524</v>
      </c>
      <c r="AL4" s="6" t="s">
        <v>484</v>
      </c>
      <c r="AM4" s="6" t="s">
        <v>484</v>
      </c>
      <c r="AN4" s="6" t="s">
        <v>525</v>
      </c>
    </row>
    <row r="5" customFormat="false" ht="15" hidden="false" customHeight="false" outlineLevel="0" collapsed="false">
      <c r="A5" s="6" t="s">
        <v>526</v>
      </c>
      <c r="B5" s="6" t="s">
        <v>158</v>
      </c>
      <c r="C5" s="6" t="s">
        <v>471</v>
      </c>
      <c r="D5" s="6" t="s">
        <v>471</v>
      </c>
      <c r="E5" s="6" t="s">
        <v>472</v>
      </c>
      <c r="F5" s="6" t="s">
        <v>159</v>
      </c>
      <c r="G5" s="6" t="s">
        <v>527</v>
      </c>
      <c r="H5" s="6" t="s">
        <v>528</v>
      </c>
      <c r="I5" s="6" t="s">
        <v>529</v>
      </c>
      <c r="J5" s="6" t="s">
        <v>530</v>
      </c>
      <c r="K5" s="6" t="s">
        <v>129</v>
      </c>
      <c r="L5" s="6" t="s">
        <v>477</v>
      </c>
      <c r="M5" s="6" t="s">
        <v>478</v>
      </c>
      <c r="N5" s="6" t="s">
        <v>531</v>
      </c>
      <c r="O5" s="6" t="s">
        <v>532</v>
      </c>
      <c r="P5" s="6" t="s">
        <v>533</v>
      </c>
      <c r="Q5" s="6" t="s">
        <v>534</v>
      </c>
      <c r="R5" s="6" t="s">
        <v>535</v>
      </c>
      <c r="S5" s="6" t="s">
        <v>536</v>
      </c>
      <c r="T5" s="6" t="s">
        <v>537</v>
      </c>
      <c r="U5" s="6" t="s">
        <v>538</v>
      </c>
      <c r="V5" s="6" t="s">
        <v>539</v>
      </c>
      <c r="W5" s="6" t="s">
        <v>540</v>
      </c>
      <c r="X5" s="6" t="s">
        <v>541</v>
      </c>
      <c r="Y5" s="6" t="s">
        <v>487</v>
      </c>
      <c r="Z5" s="6" t="s">
        <v>477</v>
      </c>
      <c r="AA5" s="6" t="s">
        <v>488</v>
      </c>
      <c r="AB5" s="6" t="s">
        <v>488</v>
      </c>
      <c r="AC5" s="6" t="s">
        <v>488</v>
      </c>
      <c r="AD5" s="6" t="s">
        <v>488</v>
      </c>
      <c r="AE5" s="6" t="s">
        <v>488</v>
      </c>
      <c r="AF5" s="6" t="s">
        <v>488</v>
      </c>
      <c r="AG5" s="6" t="s">
        <v>484</v>
      </c>
      <c r="AH5" s="6" t="s">
        <v>542</v>
      </c>
      <c r="AI5" s="6" t="s">
        <v>543</v>
      </c>
      <c r="AJ5" s="6" t="s">
        <v>484</v>
      </c>
      <c r="AK5" s="6" t="s">
        <v>544</v>
      </c>
      <c r="AL5" s="6" t="s">
        <v>484</v>
      </c>
      <c r="AM5" s="6" t="s">
        <v>484</v>
      </c>
      <c r="AN5" s="6" t="s">
        <v>545</v>
      </c>
    </row>
    <row r="6" customFormat="false" ht="15" hidden="false" customHeight="false" outlineLevel="0" collapsed="false">
      <c r="A6" s="6" t="s">
        <v>546</v>
      </c>
      <c r="B6" s="6" t="s">
        <v>176</v>
      </c>
      <c r="C6" s="6" t="s">
        <v>471</v>
      </c>
      <c r="D6" s="6" t="s">
        <v>471</v>
      </c>
      <c r="E6" s="6" t="s">
        <v>472</v>
      </c>
      <c r="F6" s="6" t="s">
        <v>177</v>
      </c>
      <c r="G6" s="6" t="s">
        <v>547</v>
      </c>
      <c r="H6" s="6" t="s">
        <v>548</v>
      </c>
      <c r="I6" s="6" t="s">
        <v>549</v>
      </c>
      <c r="J6" s="6" t="s">
        <v>512</v>
      </c>
      <c r="K6" s="6" t="s">
        <v>129</v>
      </c>
      <c r="L6" s="6" t="s">
        <v>477</v>
      </c>
      <c r="M6" s="6" t="s">
        <v>478</v>
      </c>
      <c r="N6" s="6" t="s">
        <v>550</v>
      </c>
      <c r="O6" s="6" t="s">
        <v>480</v>
      </c>
      <c r="P6" s="6" t="s">
        <v>481</v>
      </c>
      <c r="Q6" s="6" t="s">
        <v>515</v>
      </c>
      <c r="R6" s="6" t="s">
        <v>551</v>
      </c>
      <c r="S6" s="6" t="s">
        <v>517</v>
      </c>
      <c r="T6" s="6" t="s">
        <v>552</v>
      </c>
      <c r="U6" s="6" t="s">
        <v>553</v>
      </c>
      <c r="V6" s="6" t="s">
        <v>539</v>
      </c>
      <c r="W6" s="6" t="s">
        <v>554</v>
      </c>
      <c r="X6" s="6" t="s">
        <v>555</v>
      </c>
      <c r="Y6" s="6" t="s">
        <v>477</v>
      </c>
      <c r="Z6" s="6" t="s">
        <v>477</v>
      </c>
      <c r="AA6" s="6" t="s">
        <v>488</v>
      </c>
      <c r="AB6" s="6" t="s">
        <v>488</v>
      </c>
      <c r="AC6" s="6" t="s">
        <v>488</v>
      </c>
      <c r="AD6" s="6" t="s">
        <v>488</v>
      </c>
      <c r="AE6" s="6" t="s">
        <v>488</v>
      </c>
      <c r="AF6" s="6" t="s">
        <v>488</v>
      </c>
      <c r="AG6" s="6" t="s">
        <v>484</v>
      </c>
      <c r="AH6" s="6" t="s">
        <v>484</v>
      </c>
      <c r="AI6" s="6" t="s">
        <v>484</v>
      </c>
      <c r="AJ6" s="6" t="s">
        <v>484</v>
      </c>
      <c r="AK6" s="6" t="s">
        <v>556</v>
      </c>
      <c r="AL6" s="6" t="s">
        <v>484</v>
      </c>
      <c r="AM6" s="6" t="s">
        <v>484</v>
      </c>
      <c r="AN6" s="6" t="s">
        <v>557</v>
      </c>
    </row>
    <row r="7" customFormat="false" ht="15" hidden="false" customHeight="false" outlineLevel="0" collapsed="false">
      <c r="A7" s="6" t="s">
        <v>558</v>
      </c>
      <c r="B7" s="6" t="s">
        <v>190</v>
      </c>
      <c r="C7" s="6" t="s">
        <v>471</v>
      </c>
      <c r="D7" s="6" t="s">
        <v>471</v>
      </c>
      <c r="E7" s="6" t="s">
        <v>472</v>
      </c>
      <c r="F7" s="6" t="s">
        <v>191</v>
      </c>
      <c r="G7" s="6" t="s">
        <v>559</v>
      </c>
      <c r="H7" s="6" t="s">
        <v>560</v>
      </c>
      <c r="I7" s="6" t="s">
        <v>561</v>
      </c>
      <c r="J7" s="6" t="s">
        <v>476</v>
      </c>
      <c r="K7" s="6" t="s">
        <v>129</v>
      </c>
      <c r="L7" s="6" t="s">
        <v>477</v>
      </c>
      <c r="M7" s="6" t="s">
        <v>478</v>
      </c>
      <c r="N7" s="6" t="s">
        <v>562</v>
      </c>
      <c r="O7" s="6" t="s">
        <v>480</v>
      </c>
      <c r="P7" s="6" t="s">
        <v>563</v>
      </c>
      <c r="Q7" s="6" t="s">
        <v>564</v>
      </c>
      <c r="R7" s="6" t="s">
        <v>565</v>
      </c>
      <c r="S7" s="6" t="s">
        <v>484</v>
      </c>
      <c r="T7" s="6" t="s">
        <v>566</v>
      </c>
      <c r="U7" s="6" t="s">
        <v>567</v>
      </c>
      <c r="V7" s="6" t="s">
        <v>568</v>
      </c>
      <c r="W7" s="6" t="s">
        <v>569</v>
      </c>
      <c r="X7" s="6" t="s">
        <v>570</v>
      </c>
      <c r="Y7" s="6" t="s">
        <v>522</v>
      </c>
      <c r="Z7" s="6" t="s">
        <v>477</v>
      </c>
      <c r="AA7" s="6" t="s">
        <v>488</v>
      </c>
      <c r="AB7" s="6" t="s">
        <v>488</v>
      </c>
      <c r="AC7" s="6" t="s">
        <v>488</v>
      </c>
      <c r="AD7" s="6" t="s">
        <v>488</v>
      </c>
      <c r="AE7" s="6" t="s">
        <v>488</v>
      </c>
      <c r="AF7" s="6" t="s">
        <v>488</v>
      </c>
      <c r="AG7" s="6" t="s">
        <v>571</v>
      </c>
      <c r="AH7" s="6" t="s">
        <v>572</v>
      </c>
      <c r="AI7" s="6" t="s">
        <v>573</v>
      </c>
      <c r="AJ7" s="6" t="s">
        <v>484</v>
      </c>
      <c r="AK7" s="6" t="s">
        <v>484</v>
      </c>
      <c r="AL7" s="6" t="s">
        <v>484</v>
      </c>
      <c r="AM7" s="6" t="s">
        <v>573</v>
      </c>
      <c r="AN7" s="6" t="s">
        <v>574</v>
      </c>
    </row>
    <row r="8" customFormat="false" ht="15" hidden="false" customHeight="false" outlineLevel="0" collapsed="false">
      <c r="A8" s="6" t="s">
        <v>575</v>
      </c>
      <c r="B8" s="6" t="s">
        <v>190</v>
      </c>
      <c r="C8" s="6" t="s">
        <v>471</v>
      </c>
      <c r="D8" s="6" t="s">
        <v>471</v>
      </c>
      <c r="E8" s="6" t="s">
        <v>472</v>
      </c>
      <c r="F8" s="6" t="s">
        <v>191</v>
      </c>
      <c r="G8" s="6" t="s">
        <v>576</v>
      </c>
      <c r="H8" s="6" t="s">
        <v>577</v>
      </c>
      <c r="I8" s="6" t="s">
        <v>578</v>
      </c>
      <c r="J8" s="6" t="s">
        <v>476</v>
      </c>
      <c r="K8" s="6" t="s">
        <v>129</v>
      </c>
      <c r="L8" s="6" t="s">
        <v>477</v>
      </c>
      <c r="M8" s="6" t="s">
        <v>478</v>
      </c>
      <c r="N8" s="6" t="s">
        <v>579</v>
      </c>
      <c r="O8" s="6" t="s">
        <v>480</v>
      </c>
      <c r="P8" s="6" t="s">
        <v>580</v>
      </c>
      <c r="Q8" s="6" t="s">
        <v>581</v>
      </c>
      <c r="R8" s="6" t="s">
        <v>582</v>
      </c>
      <c r="S8" s="6" t="s">
        <v>484</v>
      </c>
      <c r="T8" s="6" t="s">
        <v>583</v>
      </c>
      <c r="U8" s="6" t="s">
        <v>584</v>
      </c>
      <c r="V8" s="6" t="s">
        <v>539</v>
      </c>
      <c r="W8" s="6" t="s">
        <v>585</v>
      </c>
      <c r="X8" s="6" t="s">
        <v>586</v>
      </c>
      <c r="Y8" s="6" t="s">
        <v>522</v>
      </c>
      <c r="Z8" s="6" t="s">
        <v>477</v>
      </c>
      <c r="AA8" s="6" t="s">
        <v>488</v>
      </c>
      <c r="AB8" s="6" t="s">
        <v>488</v>
      </c>
      <c r="AC8" s="6" t="s">
        <v>488</v>
      </c>
      <c r="AD8" s="6" t="s">
        <v>488</v>
      </c>
      <c r="AE8" s="6" t="s">
        <v>488</v>
      </c>
      <c r="AF8" s="6" t="s">
        <v>488</v>
      </c>
      <c r="AG8" s="6" t="s">
        <v>587</v>
      </c>
      <c r="AH8" s="6" t="s">
        <v>588</v>
      </c>
      <c r="AI8" s="6" t="s">
        <v>589</v>
      </c>
      <c r="AJ8" s="6" t="s">
        <v>484</v>
      </c>
      <c r="AK8" s="6" t="s">
        <v>484</v>
      </c>
      <c r="AL8" s="6" t="s">
        <v>484</v>
      </c>
      <c r="AM8" s="6" t="s">
        <v>484</v>
      </c>
      <c r="AN8" s="6" t="s">
        <v>590</v>
      </c>
    </row>
    <row r="9" customFormat="false" ht="15" hidden="false" customHeight="false" outlineLevel="0" collapsed="false">
      <c r="A9" s="6" t="s">
        <v>591</v>
      </c>
      <c r="B9" s="6" t="s">
        <v>187</v>
      </c>
      <c r="C9" s="6" t="s">
        <v>471</v>
      </c>
      <c r="D9" s="6" t="s">
        <v>471</v>
      </c>
      <c r="E9" s="6" t="s">
        <v>472</v>
      </c>
      <c r="F9" s="6" t="s">
        <v>188</v>
      </c>
      <c r="G9" s="6" t="s">
        <v>592</v>
      </c>
      <c r="H9" s="6" t="s">
        <v>593</v>
      </c>
      <c r="I9" s="6" t="s">
        <v>594</v>
      </c>
      <c r="J9" s="6" t="s">
        <v>530</v>
      </c>
      <c r="K9" s="6" t="s">
        <v>129</v>
      </c>
      <c r="L9" s="6" t="s">
        <v>477</v>
      </c>
      <c r="M9" s="6" t="s">
        <v>478</v>
      </c>
      <c r="N9" s="6" t="s">
        <v>595</v>
      </c>
      <c r="O9" s="6" t="s">
        <v>480</v>
      </c>
      <c r="P9" s="6" t="s">
        <v>481</v>
      </c>
      <c r="Q9" s="6" t="s">
        <v>477</v>
      </c>
      <c r="R9" s="6" t="s">
        <v>497</v>
      </c>
      <c r="S9" s="6" t="s">
        <v>484</v>
      </c>
      <c r="T9" s="6" t="s">
        <v>596</v>
      </c>
      <c r="U9" s="6" t="s">
        <v>484</v>
      </c>
      <c r="V9" s="6" t="s">
        <v>486</v>
      </c>
      <c r="W9" s="6" t="s">
        <v>597</v>
      </c>
      <c r="X9" s="6" t="s">
        <v>598</v>
      </c>
      <c r="Y9" s="6" t="s">
        <v>487</v>
      </c>
      <c r="Z9" s="6" t="s">
        <v>477</v>
      </c>
      <c r="AA9" s="6" t="s">
        <v>488</v>
      </c>
      <c r="AB9" s="6" t="s">
        <v>488</v>
      </c>
      <c r="AC9" s="6" t="s">
        <v>488</v>
      </c>
      <c r="AD9" s="6" t="s">
        <v>488</v>
      </c>
      <c r="AE9" s="6" t="s">
        <v>488</v>
      </c>
      <c r="AF9" s="6" t="s">
        <v>488</v>
      </c>
      <c r="AG9" s="6" t="s">
        <v>484</v>
      </c>
      <c r="AH9" s="6" t="s">
        <v>599</v>
      </c>
      <c r="AI9" s="6" t="s">
        <v>484</v>
      </c>
      <c r="AJ9" s="6" t="s">
        <v>484</v>
      </c>
      <c r="AK9" s="6" t="s">
        <v>484</v>
      </c>
      <c r="AL9" s="6" t="s">
        <v>484</v>
      </c>
      <c r="AM9" s="6" t="s">
        <v>484</v>
      </c>
      <c r="AN9" s="6" t="s">
        <v>600</v>
      </c>
    </row>
    <row r="10" customFormat="false" ht="15" hidden="false" customHeight="false" outlineLevel="0" collapsed="false">
      <c r="A10" s="6" t="s">
        <v>601</v>
      </c>
      <c r="B10" s="6" t="s">
        <v>374</v>
      </c>
      <c r="C10" s="6" t="s">
        <v>471</v>
      </c>
      <c r="D10" s="6" t="s">
        <v>471</v>
      </c>
      <c r="E10" s="6" t="s">
        <v>472</v>
      </c>
      <c r="F10" s="6" t="s">
        <v>375</v>
      </c>
      <c r="G10" s="6" t="s">
        <v>602</v>
      </c>
      <c r="H10" s="6" t="s">
        <v>603</v>
      </c>
      <c r="I10" s="6" t="s">
        <v>604</v>
      </c>
      <c r="J10" s="6" t="s">
        <v>476</v>
      </c>
      <c r="K10" s="6" t="s">
        <v>129</v>
      </c>
      <c r="L10" s="6" t="s">
        <v>477</v>
      </c>
      <c r="M10" s="6" t="s">
        <v>478</v>
      </c>
      <c r="N10" s="6" t="s">
        <v>605</v>
      </c>
      <c r="O10" s="6" t="s">
        <v>532</v>
      </c>
      <c r="P10" s="6" t="s">
        <v>481</v>
      </c>
      <c r="Q10" s="6" t="s">
        <v>606</v>
      </c>
      <c r="R10" s="6" t="s">
        <v>607</v>
      </c>
      <c r="S10" s="6" t="s">
        <v>484</v>
      </c>
      <c r="T10" s="6" t="s">
        <v>608</v>
      </c>
      <c r="U10" s="6" t="s">
        <v>609</v>
      </c>
      <c r="V10" s="6" t="s">
        <v>486</v>
      </c>
      <c r="W10" s="6" t="s">
        <v>610</v>
      </c>
      <c r="X10" s="6" t="s">
        <v>611</v>
      </c>
      <c r="Y10" s="6" t="s">
        <v>487</v>
      </c>
      <c r="Z10" s="6" t="s">
        <v>477</v>
      </c>
      <c r="AA10" s="6" t="s">
        <v>488</v>
      </c>
      <c r="AB10" s="6" t="s">
        <v>488</v>
      </c>
      <c r="AC10" s="6" t="s">
        <v>488</v>
      </c>
      <c r="AD10" s="6" t="s">
        <v>488</v>
      </c>
      <c r="AE10" s="6" t="s">
        <v>488</v>
      </c>
      <c r="AF10" s="6" t="s">
        <v>488</v>
      </c>
      <c r="AG10" s="6" t="s">
        <v>484</v>
      </c>
      <c r="AH10" s="6" t="s">
        <v>612</v>
      </c>
      <c r="AI10" s="6" t="s">
        <v>613</v>
      </c>
      <c r="AJ10" s="6" t="s">
        <v>484</v>
      </c>
      <c r="AK10" s="6" t="s">
        <v>614</v>
      </c>
      <c r="AL10" s="6" t="s">
        <v>589</v>
      </c>
      <c r="AM10" s="6" t="s">
        <v>484</v>
      </c>
      <c r="AN10" s="6" t="s">
        <v>615</v>
      </c>
    </row>
    <row r="11" customFormat="false" ht="15" hidden="false" customHeight="false" outlineLevel="0" collapsed="false">
      <c r="A11" s="6" t="s">
        <v>616</v>
      </c>
      <c r="B11" s="6" t="s">
        <v>194</v>
      </c>
      <c r="C11" s="6" t="s">
        <v>471</v>
      </c>
      <c r="D11" s="6" t="s">
        <v>471</v>
      </c>
      <c r="E11" s="6" t="s">
        <v>472</v>
      </c>
      <c r="F11" s="6" t="s">
        <v>195</v>
      </c>
      <c r="G11" s="6" t="s">
        <v>617</v>
      </c>
      <c r="H11" s="6" t="s">
        <v>618</v>
      </c>
      <c r="I11" s="6" t="s">
        <v>619</v>
      </c>
      <c r="J11" s="6" t="s">
        <v>530</v>
      </c>
      <c r="K11" s="6" t="s">
        <v>129</v>
      </c>
      <c r="L11" s="6" t="s">
        <v>477</v>
      </c>
      <c r="M11" s="6" t="s">
        <v>478</v>
      </c>
      <c r="N11" s="6" t="s">
        <v>620</v>
      </c>
      <c r="O11" s="6" t="s">
        <v>480</v>
      </c>
      <c r="P11" s="6" t="s">
        <v>481</v>
      </c>
      <c r="Q11" s="6" t="s">
        <v>621</v>
      </c>
      <c r="R11" s="6" t="s">
        <v>516</v>
      </c>
      <c r="S11" s="6" t="s">
        <v>622</v>
      </c>
      <c r="T11" s="6" t="s">
        <v>623</v>
      </c>
      <c r="U11" s="6" t="s">
        <v>624</v>
      </c>
      <c r="V11" s="6" t="s">
        <v>501</v>
      </c>
      <c r="W11" s="6" t="s">
        <v>625</v>
      </c>
      <c r="X11" s="6" t="s">
        <v>484</v>
      </c>
      <c r="Y11" s="6" t="s">
        <v>487</v>
      </c>
      <c r="Z11" s="6" t="s">
        <v>477</v>
      </c>
      <c r="AA11" s="6" t="s">
        <v>488</v>
      </c>
      <c r="AB11" s="6" t="s">
        <v>488</v>
      </c>
      <c r="AC11" s="6" t="s">
        <v>488</v>
      </c>
      <c r="AD11" s="6" t="s">
        <v>488</v>
      </c>
      <c r="AE11" s="6" t="s">
        <v>488</v>
      </c>
      <c r="AF11" s="6" t="s">
        <v>488</v>
      </c>
      <c r="AG11" s="6" t="s">
        <v>587</v>
      </c>
      <c r="AH11" s="6" t="s">
        <v>626</v>
      </c>
      <c r="AI11" s="6" t="s">
        <v>589</v>
      </c>
      <c r="AJ11" s="6" t="s">
        <v>484</v>
      </c>
      <c r="AK11" s="6" t="s">
        <v>484</v>
      </c>
      <c r="AL11" s="6" t="s">
        <v>484</v>
      </c>
      <c r="AM11" s="6" t="s">
        <v>484</v>
      </c>
      <c r="AN11" s="6" t="s">
        <v>627</v>
      </c>
    </row>
    <row r="12" customFormat="false" ht="15" hidden="false" customHeight="false" outlineLevel="0" collapsed="false">
      <c r="A12" s="6" t="s">
        <v>628</v>
      </c>
      <c r="B12" s="6" t="s">
        <v>203</v>
      </c>
      <c r="C12" s="6" t="s">
        <v>471</v>
      </c>
      <c r="D12" s="6" t="s">
        <v>471</v>
      </c>
      <c r="E12" s="6" t="s">
        <v>472</v>
      </c>
      <c r="F12" s="6" t="s">
        <v>204</v>
      </c>
      <c r="G12" s="6" t="s">
        <v>629</v>
      </c>
      <c r="H12" s="6" t="s">
        <v>630</v>
      </c>
      <c r="I12" s="6" t="s">
        <v>631</v>
      </c>
      <c r="J12" s="6" t="s">
        <v>476</v>
      </c>
      <c r="K12" s="6" t="s">
        <v>129</v>
      </c>
      <c r="L12" s="6" t="s">
        <v>477</v>
      </c>
      <c r="M12" s="6" t="s">
        <v>478</v>
      </c>
      <c r="N12" s="6" t="s">
        <v>632</v>
      </c>
      <c r="O12" s="6" t="s">
        <v>480</v>
      </c>
      <c r="P12" s="6" t="s">
        <v>481</v>
      </c>
      <c r="Q12" s="6" t="s">
        <v>633</v>
      </c>
      <c r="R12" s="6" t="s">
        <v>634</v>
      </c>
      <c r="S12" s="6" t="s">
        <v>484</v>
      </c>
      <c r="T12" s="6" t="s">
        <v>635</v>
      </c>
      <c r="U12" s="6" t="s">
        <v>636</v>
      </c>
      <c r="V12" s="6" t="s">
        <v>539</v>
      </c>
      <c r="W12" s="6" t="s">
        <v>637</v>
      </c>
      <c r="X12" s="6" t="s">
        <v>638</v>
      </c>
      <c r="Y12" s="6" t="s">
        <v>477</v>
      </c>
      <c r="Z12" s="6" t="s">
        <v>477</v>
      </c>
      <c r="AA12" s="6" t="s">
        <v>488</v>
      </c>
      <c r="AB12" s="6" t="s">
        <v>488</v>
      </c>
      <c r="AC12" s="6" t="s">
        <v>488</v>
      </c>
      <c r="AD12" s="6" t="s">
        <v>488</v>
      </c>
      <c r="AE12" s="6" t="s">
        <v>488</v>
      </c>
      <c r="AF12" s="6" t="s">
        <v>488</v>
      </c>
      <c r="AG12" s="6" t="s">
        <v>484</v>
      </c>
      <c r="AH12" s="6" t="s">
        <v>484</v>
      </c>
      <c r="AI12" s="6" t="s">
        <v>484</v>
      </c>
      <c r="AJ12" s="6" t="s">
        <v>484</v>
      </c>
      <c r="AK12" s="6" t="s">
        <v>639</v>
      </c>
      <c r="AL12" s="6" t="s">
        <v>484</v>
      </c>
      <c r="AM12" s="6" t="s">
        <v>484</v>
      </c>
      <c r="AN12" s="6" t="s">
        <v>640</v>
      </c>
    </row>
    <row r="13" customFormat="false" ht="15" hidden="false" customHeight="false" outlineLevel="0" collapsed="false">
      <c r="A13" s="6" t="s">
        <v>641</v>
      </c>
      <c r="B13" s="6" t="s">
        <v>222</v>
      </c>
      <c r="C13" s="6" t="s">
        <v>471</v>
      </c>
      <c r="D13" s="6" t="s">
        <v>471</v>
      </c>
      <c r="E13" s="6" t="s">
        <v>642</v>
      </c>
      <c r="F13" s="6" t="s">
        <v>223</v>
      </c>
      <c r="G13" s="6" t="s">
        <v>643</v>
      </c>
      <c r="H13" s="6" t="s">
        <v>644</v>
      </c>
      <c r="I13" s="6" t="s">
        <v>645</v>
      </c>
      <c r="J13" s="6" t="s">
        <v>476</v>
      </c>
      <c r="K13" s="6" t="s">
        <v>129</v>
      </c>
      <c r="L13" s="6" t="s">
        <v>477</v>
      </c>
      <c r="M13" s="6" t="s">
        <v>478</v>
      </c>
      <c r="N13" s="6" t="s">
        <v>646</v>
      </c>
      <c r="O13" s="6" t="s">
        <v>480</v>
      </c>
      <c r="P13" s="6" t="s">
        <v>481</v>
      </c>
      <c r="Q13" s="6" t="s">
        <v>647</v>
      </c>
      <c r="R13" s="6" t="s">
        <v>648</v>
      </c>
      <c r="S13" s="6" t="s">
        <v>484</v>
      </c>
      <c r="T13" s="6" t="s">
        <v>649</v>
      </c>
      <c r="U13" s="6" t="s">
        <v>650</v>
      </c>
      <c r="V13" s="6" t="s">
        <v>568</v>
      </c>
      <c r="W13" s="6" t="s">
        <v>651</v>
      </c>
      <c r="X13" s="6" t="s">
        <v>652</v>
      </c>
      <c r="Y13" s="6" t="s">
        <v>477</v>
      </c>
      <c r="Z13" s="6" t="s">
        <v>477</v>
      </c>
      <c r="AA13" s="6" t="s">
        <v>488</v>
      </c>
      <c r="AB13" s="6" t="s">
        <v>488</v>
      </c>
      <c r="AC13" s="6" t="s">
        <v>488</v>
      </c>
      <c r="AD13" s="6" t="s">
        <v>488</v>
      </c>
      <c r="AE13" s="6" t="s">
        <v>488</v>
      </c>
      <c r="AF13" s="6" t="s">
        <v>488</v>
      </c>
      <c r="AG13" s="6" t="s">
        <v>484</v>
      </c>
      <c r="AH13" s="6" t="s">
        <v>653</v>
      </c>
      <c r="AI13" s="6" t="s">
        <v>654</v>
      </c>
      <c r="AJ13" s="6" t="s">
        <v>484</v>
      </c>
      <c r="AK13" s="6" t="s">
        <v>655</v>
      </c>
      <c r="AL13" s="6" t="s">
        <v>589</v>
      </c>
      <c r="AM13" s="6" t="s">
        <v>656</v>
      </c>
      <c r="AN13" s="6" t="s">
        <v>657</v>
      </c>
    </row>
    <row r="14" customFormat="false" ht="15" hidden="false" customHeight="false" outlineLevel="0" collapsed="false">
      <c r="A14" s="6" t="s">
        <v>658</v>
      </c>
      <c r="B14" s="6" t="s">
        <v>230</v>
      </c>
      <c r="C14" s="6" t="s">
        <v>471</v>
      </c>
      <c r="D14" s="6" t="s">
        <v>471</v>
      </c>
      <c r="E14" s="6" t="s">
        <v>472</v>
      </c>
      <c r="F14" s="6" t="s">
        <v>231</v>
      </c>
      <c r="G14" s="6" t="s">
        <v>659</v>
      </c>
      <c r="H14" s="6" t="s">
        <v>660</v>
      </c>
      <c r="I14" s="6" t="s">
        <v>661</v>
      </c>
      <c r="J14" s="6" t="s">
        <v>476</v>
      </c>
      <c r="K14" s="6" t="s">
        <v>129</v>
      </c>
      <c r="L14" s="6" t="s">
        <v>477</v>
      </c>
      <c r="M14" s="6" t="s">
        <v>478</v>
      </c>
      <c r="N14" s="6" t="s">
        <v>662</v>
      </c>
      <c r="O14" s="6" t="s">
        <v>480</v>
      </c>
      <c r="P14" s="6" t="s">
        <v>533</v>
      </c>
      <c r="Q14" s="6" t="s">
        <v>606</v>
      </c>
      <c r="R14" s="6" t="s">
        <v>663</v>
      </c>
      <c r="S14" s="6" t="s">
        <v>484</v>
      </c>
      <c r="T14" s="6" t="s">
        <v>664</v>
      </c>
      <c r="U14" s="6" t="s">
        <v>665</v>
      </c>
      <c r="V14" s="6" t="s">
        <v>539</v>
      </c>
      <c r="W14" s="6" t="s">
        <v>666</v>
      </c>
      <c r="X14" s="6" t="s">
        <v>667</v>
      </c>
      <c r="Y14" s="6" t="s">
        <v>477</v>
      </c>
      <c r="Z14" s="6" t="s">
        <v>477</v>
      </c>
      <c r="AA14" s="6" t="s">
        <v>488</v>
      </c>
      <c r="AB14" s="6" t="s">
        <v>488</v>
      </c>
      <c r="AC14" s="6" t="s">
        <v>488</v>
      </c>
      <c r="AD14" s="6" t="s">
        <v>488</v>
      </c>
      <c r="AE14" s="6" t="s">
        <v>488</v>
      </c>
      <c r="AF14" s="6" t="s">
        <v>488</v>
      </c>
      <c r="AG14" s="6" t="s">
        <v>484</v>
      </c>
      <c r="AH14" s="6" t="s">
        <v>668</v>
      </c>
      <c r="AI14" s="6" t="s">
        <v>484</v>
      </c>
      <c r="AJ14" s="6" t="s">
        <v>484</v>
      </c>
      <c r="AK14" s="6" t="s">
        <v>669</v>
      </c>
      <c r="AL14" s="6" t="s">
        <v>484</v>
      </c>
      <c r="AM14" s="6" t="s">
        <v>484</v>
      </c>
      <c r="AN14" s="6" t="s">
        <v>670</v>
      </c>
    </row>
    <row r="15" customFormat="false" ht="15" hidden="false" customHeight="false" outlineLevel="0" collapsed="false">
      <c r="A15" s="6" t="s">
        <v>671</v>
      </c>
      <c r="B15" s="6" t="s">
        <v>230</v>
      </c>
      <c r="C15" s="6" t="s">
        <v>471</v>
      </c>
      <c r="D15" s="6" t="s">
        <v>471</v>
      </c>
      <c r="E15" s="6" t="s">
        <v>472</v>
      </c>
      <c r="F15" s="6" t="s">
        <v>231</v>
      </c>
      <c r="G15" s="6" t="s">
        <v>672</v>
      </c>
      <c r="H15" s="6" t="s">
        <v>673</v>
      </c>
      <c r="I15" s="6" t="s">
        <v>674</v>
      </c>
      <c r="J15" s="6" t="s">
        <v>476</v>
      </c>
      <c r="K15" s="6" t="s">
        <v>129</v>
      </c>
      <c r="L15" s="6" t="s">
        <v>477</v>
      </c>
      <c r="M15" s="6" t="s">
        <v>478</v>
      </c>
      <c r="N15" s="6" t="s">
        <v>675</v>
      </c>
      <c r="O15" s="6" t="s">
        <v>480</v>
      </c>
      <c r="P15" s="6" t="s">
        <v>676</v>
      </c>
      <c r="Q15" s="6" t="s">
        <v>677</v>
      </c>
      <c r="R15" s="6" t="s">
        <v>663</v>
      </c>
      <c r="S15" s="6" t="s">
        <v>484</v>
      </c>
      <c r="T15" s="6" t="s">
        <v>678</v>
      </c>
      <c r="U15" s="6" t="s">
        <v>679</v>
      </c>
      <c r="V15" s="6" t="s">
        <v>539</v>
      </c>
      <c r="W15" s="6" t="s">
        <v>680</v>
      </c>
      <c r="X15" s="6" t="s">
        <v>681</v>
      </c>
      <c r="Y15" s="6" t="s">
        <v>477</v>
      </c>
      <c r="Z15" s="6" t="s">
        <v>477</v>
      </c>
      <c r="AA15" s="6" t="s">
        <v>488</v>
      </c>
      <c r="AB15" s="6" t="s">
        <v>488</v>
      </c>
      <c r="AC15" s="6" t="s">
        <v>488</v>
      </c>
      <c r="AD15" s="6" t="s">
        <v>488</v>
      </c>
      <c r="AE15" s="6" t="s">
        <v>488</v>
      </c>
      <c r="AF15" s="6" t="s">
        <v>488</v>
      </c>
      <c r="AG15" s="6" t="s">
        <v>587</v>
      </c>
      <c r="AH15" s="6" t="s">
        <v>682</v>
      </c>
      <c r="AI15" s="6" t="s">
        <v>573</v>
      </c>
      <c r="AJ15" s="6" t="s">
        <v>484</v>
      </c>
      <c r="AK15" s="6" t="s">
        <v>683</v>
      </c>
      <c r="AL15" s="6" t="s">
        <v>484</v>
      </c>
      <c r="AM15" s="6" t="s">
        <v>484</v>
      </c>
      <c r="AN15" s="6" t="s">
        <v>684</v>
      </c>
    </row>
    <row r="16" customFormat="false" ht="15" hidden="false" customHeight="false" outlineLevel="0" collapsed="false">
      <c r="A16" s="6" t="s">
        <v>685</v>
      </c>
      <c r="B16" s="6" t="s">
        <v>374</v>
      </c>
      <c r="C16" s="6" t="s">
        <v>471</v>
      </c>
      <c r="D16" s="6" t="s">
        <v>471</v>
      </c>
      <c r="E16" s="6" t="s">
        <v>472</v>
      </c>
      <c r="F16" s="6" t="s">
        <v>377</v>
      </c>
      <c r="G16" s="6" t="s">
        <v>686</v>
      </c>
      <c r="H16" s="6" t="s">
        <v>687</v>
      </c>
      <c r="I16" s="6" t="s">
        <v>688</v>
      </c>
      <c r="J16" s="6" t="s">
        <v>512</v>
      </c>
      <c r="K16" s="6" t="s">
        <v>129</v>
      </c>
      <c r="L16" s="6" t="s">
        <v>477</v>
      </c>
      <c r="M16" s="6" t="s">
        <v>478</v>
      </c>
      <c r="N16" s="6" t="s">
        <v>689</v>
      </c>
      <c r="O16" s="6" t="s">
        <v>480</v>
      </c>
      <c r="P16" s="6" t="s">
        <v>481</v>
      </c>
      <c r="Q16" s="6" t="s">
        <v>690</v>
      </c>
      <c r="R16" s="6" t="s">
        <v>691</v>
      </c>
      <c r="S16" s="6" t="s">
        <v>692</v>
      </c>
      <c r="T16" s="6" t="s">
        <v>693</v>
      </c>
      <c r="U16" s="6" t="s">
        <v>694</v>
      </c>
      <c r="V16" s="6" t="s">
        <v>486</v>
      </c>
      <c r="W16" s="6" t="s">
        <v>695</v>
      </c>
      <c r="X16" s="6" t="s">
        <v>696</v>
      </c>
      <c r="Y16" s="6" t="s">
        <v>477</v>
      </c>
      <c r="Z16" s="6" t="s">
        <v>477</v>
      </c>
      <c r="AA16" s="6" t="s">
        <v>488</v>
      </c>
      <c r="AB16" s="6" t="s">
        <v>488</v>
      </c>
      <c r="AC16" s="6" t="s">
        <v>488</v>
      </c>
      <c r="AD16" s="6" t="s">
        <v>488</v>
      </c>
      <c r="AE16" s="6" t="s">
        <v>488</v>
      </c>
      <c r="AF16" s="6" t="s">
        <v>488</v>
      </c>
      <c r="AG16" s="6" t="s">
        <v>587</v>
      </c>
      <c r="AH16" s="6" t="s">
        <v>697</v>
      </c>
      <c r="AI16" s="6" t="s">
        <v>589</v>
      </c>
      <c r="AJ16" s="6" t="s">
        <v>484</v>
      </c>
      <c r="AK16" s="6" t="s">
        <v>698</v>
      </c>
      <c r="AL16" s="6" t="s">
        <v>484</v>
      </c>
      <c r="AM16" s="6" t="s">
        <v>484</v>
      </c>
      <c r="AN16" s="6" t="s">
        <v>699</v>
      </c>
    </row>
    <row r="17" customFormat="false" ht="15" hidden="false" customHeight="false" outlineLevel="0" collapsed="false">
      <c r="A17" s="6" t="s">
        <v>700</v>
      </c>
      <c r="B17" s="6" t="s">
        <v>323</v>
      </c>
      <c r="C17" s="6" t="s">
        <v>471</v>
      </c>
      <c r="D17" s="6" t="s">
        <v>471</v>
      </c>
      <c r="E17" s="6" t="s">
        <v>472</v>
      </c>
      <c r="F17" s="6" t="s">
        <v>324</v>
      </c>
      <c r="G17" s="6" t="s">
        <v>701</v>
      </c>
      <c r="H17" s="6" t="s">
        <v>702</v>
      </c>
      <c r="I17" s="6" t="s">
        <v>703</v>
      </c>
      <c r="J17" s="6" t="s">
        <v>530</v>
      </c>
      <c r="K17" s="6" t="s">
        <v>129</v>
      </c>
      <c r="L17" s="6" t="s">
        <v>477</v>
      </c>
      <c r="M17" s="6" t="s">
        <v>478</v>
      </c>
      <c r="N17" s="6" t="s">
        <v>704</v>
      </c>
      <c r="O17" s="6" t="s">
        <v>480</v>
      </c>
      <c r="P17" s="6" t="s">
        <v>705</v>
      </c>
      <c r="Q17" s="6" t="s">
        <v>706</v>
      </c>
      <c r="R17" s="6" t="s">
        <v>565</v>
      </c>
      <c r="S17" s="6" t="s">
        <v>707</v>
      </c>
      <c r="T17" s="6" t="s">
        <v>708</v>
      </c>
      <c r="U17" s="6" t="s">
        <v>709</v>
      </c>
      <c r="V17" s="6" t="s">
        <v>539</v>
      </c>
      <c r="W17" s="6" t="s">
        <v>710</v>
      </c>
      <c r="X17" s="6" t="s">
        <v>711</v>
      </c>
      <c r="Y17" s="6" t="s">
        <v>487</v>
      </c>
      <c r="Z17" s="6" t="s">
        <v>477</v>
      </c>
      <c r="AA17" s="6" t="s">
        <v>488</v>
      </c>
      <c r="AB17" s="6" t="s">
        <v>488</v>
      </c>
      <c r="AC17" s="6" t="s">
        <v>488</v>
      </c>
      <c r="AD17" s="6" t="s">
        <v>488</v>
      </c>
      <c r="AE17" s="6" t="s">
        <v>488</v>
      </c>
      <c r="AF17" s="6" t="s">
        <v>488</v>
      </c>
      <c r="AG17" s="6" t="s">
        <v>587</v>
      </c>
      <c r="AH17" s="6" t="s">
        <v>712</v>
      </c>
      <c r="AI17" s="6" t="s">
        <v>573</v>
      </c>
      <c r="AJ17" s="6" t="s">
        <v>484</v>
      </c>
      <c r="AK17" s="6" t="s">
        <v>713</v>
      </c>
      <c r="AL17" s="6" t="s">
        <v>484</v>
      </c>
      <c r="AM17" s="6" t="s">
        <v>484</v>
      </c>
      <c r="AN17" s="6" t="s">
        <v>714</v>
      </c>
    </row>
    <row r="18" customFormat="false" ht="15" hidden="false" customHeight="false" outlineLevel="0" collapsed="false">
      <c r="A18" s="6" t="s">
        <v>715</v>
      </c>
      <c r="B18" s="6" t="s">
        <v>291</v>
      </c>
      <c r="C18" s="6" t="s">
        <v>471</v>
      </c>
      <c r="D18" s="6" t="s">
        <v>471</v>
      </c>
      <c r="E18" s="6" t="s">
        <v>472</v>
      </c>
      <c r="F18" s="6" t="s">
        <v>292</v>
      </c>
      <c r="G18" s="6" t="s">
        <v>716</v>
      </c>
      <c r="H18" s="6" t="s">
        <v>717</v>
      </c>
      <c r="I18" s="6" t="s">
        <v>718</v>
      </c>
      <c r="J18" s="6" t="s">
        <v>476</v>
      </c>
      <c r="K18" s="6" t="s">
        <v>129</v>
      </c>
      <c r="L18" s="6" t="s">
        <v>477</v>
      </c>
      <c r="M18" s="6" t="s">
        <v>478</v>
      </c>
      <c r="N18" s="6" t="s">
        <v>719</v>
      </c>
      <c r="O18" s="6" t="s">
        <v>532</v>
      </c>
      <c r="P18" s="6" t="s">
        <v>720</v>
      </c>
      <c r="Q18" s="6" t="s">
        <v>721</v>
      </c>
      <c r="R18" s="6" t="s">
        <v>497</v>
      </c>
      <c r="S18" s="6" t="s">
        <v>484</v>
      </c>
      <c r="T18" s="6" t="s">
        <v>722</v>
      </c>
      <c r="U18" s="6" t="s">
        <v>723</v>
      </c>
      <c r="V18" s="6" t="s">
        <v>486</v>
      </c>
      <c r="W18" s="6" t="s">
        <v>724</v>
      </c>
      <c r="X18" s="6" t="s">
        <v>725</v>
      </c>
      <c r="Y18" s="6" t="s">
        <v>477</v>
      </c>
      <c r="Z18" s="6" t="s">
        <v>477</v>
      </c>
      <c r="AA18" s="6" t="s">
        <v>488</v>
      </c>
      <c r="AB18" s="6" t="s">
        <v>488</v>
      </c>
      <c r="AC18" s="6" t="s">
        <v>488</v>
      </c>
      <c r="AD18" s="6" t="s">
        <v>488</v>
      </c>
      <c r="AE18" s="6" t="s">
        <v>488</v>
      </c>
      <c r="AF18" s="6" t="s">
        <v>488</v>
      </c>
      <c r="AG18" s="6" t="s">
        <v>484</v>
      </c>
      <c r="AH18" s="6" t="s">
        <v>484</v>
      </c>
      <c r="AI18" s="6" t="s">
        <v>484</v>
      </c>
      <c r="AJ18" s="6" t="s">
        <v>573</v>
      </c>
      <c r="AK18" s="6" t="s">
        <v>726</v>
      </c>
      <c r="AL18" s="6" t="s">
        <v>573</v>
      </c>
      <c r="AM18" s="6" t="s">
        <v>727</v>
      </c>
      <c r="AN18" s="6" t="s">
        <v>728</v>
      </c>
    </row>
    <row r="19" customFormat="false" ht="15" hidden="false" customHeight="false" outlineLevel="0" collapsed="false">
      <c r="A19" s="6" t="s">
        <v>729</v>
      </c>
      <c r="B19" s="6" t="s">
        <v>262</v>
      </c>
      <c r="C19" s="6" t="s">
        <v>471</v>
      </c>
      <c r="D19" s="6" t="s">
        <v>471</v>
      </c>
      <c r="E19" s="6" t="s">
        <v>472</v>
      </c>
      <c r="F19" s="6" t="s">
        <v>263</v>
      </c>
      <c r="G19" s="6" t="s">
        <v>730</v>
      </c>
      <c r="H19" s="6" t="s">
        <v>731</v>
      </c>
      <c r="I19" s="6" t="s">
        <v>732</v>
      </c>
      <c r="J19" s="6" t="s">
        <v>530</v>
      </c>
      <c r="K19" s="6" t="s">
        <v>129</v>
      </c>
      <c r="L19" s="6" t="s">
        <v>733</v>
      </c>
      <c r="M19" s="6" t="s">
        <v>478</v>
      </c>
      <c r="N19" s="6" t="s">
        <v>734</v>
      </c>
      <c r="O19" s="6" t="s">
        <v>480</v>
      </c>
      <c r="P19" s="6" t="s">
        <v>481</v>
      </c>
      <c r="Q19" s="6" t="s">
        <v>735</v>
      </c>
      <c r="R19" s="6" t="s">
        <v>736</v>
      </c>
      <c r="S19" s="6" t="s">
        <v>737</v>
      </c>
      <c r="T19" s="6" t="s">
        <v>738</v>
      </c>
      <c r="U19" s="6" t="s">
        <v>739</v>
      </c>
      <c r="V19" s="6" t="s">
        <v>539</v>
      </c>
      <c r="W19" s="6" t="s">
        <v>740</v>
      </c>
      <c r="X19" s="6" t="s">
        <v>741</v>
      </c>
      <c r="Y19" s="6" t="s">
        <v>487</v>
      </c>
      <c r="Z19" s="6" t="s">
        <v>477</v>
      </c>
      <c r="AA19" s="6" t="s">
        <v>488</v>
      </c>
      <c r="AB19" s="6" t="s">
        <v>488</v>
      </c>
      <c r="AC19" s="6" t="s">
        <v>488</v>
      </c>
      <c r="AD19" s="6" t="s">
        <v>488</v>
      </c>
      <c r="AE19" s="6" t="s">
        <v>488</v>
      </c>
      <c r="AF19" s="6" t="s">
        <v>488</v>
      </c>
      <c r="AG19" s="6" t="s">
        <v>484</v>
      </c>
      <c r="AH19" s="6" t="s">
        <v>742</v>
      </c>
      <c r="AI19" s="6" t="s">
        <v>589</v>
      </c>
      <c r="AJ19" s="6" t="s">
        <v>484</v>
      </c>
      <c r="AK19" s="6" t="s">
        <v>743</v>
      </c>
      <c r="AL19" s="6" t="s">
        <v>589</v>
      </c>
      <c r="AM19" s="6" t="s">
        <v>484</v>
      </c>
      <c r="AN19" s="6" t="s">
        <v>744</v>
      </c>
    </row>
    <row r="20" customFormat="false" ht="15" hidden="false" customHeight="false" outlineLevel="0" collapsed="false">
      <c r="A20" s="6" t="s">
        <v>745</v>
      </c>
      <c r="B20" s="6" t="s">
        <v>251</v>
      </c>
      <c r="C20" s="6" t="s">
        <v>471</v>
      </c>
      <c r="D20" s="6" t="s">
        <v>471</v>
      </c>
      <c r="E20" s="6" t="s">
        <v>472</v>
      </c>
      <c r="F20" s="6" t="s">
        <v>252</v>
      </c>
      <c r="G20" s="6" t="s">
        <v>746</v>
      </c>
      <c r="H20" s="6" t="s">
        <v>747</v>
      </c>
      <c r="I20" s="6" t="s">
        <v>748</v>
      </c>
      <c r="J20" s="6" t="s">
        <v>476</v>
      </c>
      <c r="K20" s="6" t="s">
        <v>129</v>
      </c>
      <c r="L20" s="6" t="s">
        <v>477</v>
      </c>
      <c r="M20" s="6" t="s">
        <v>478</v>
      </c>
      <c r="N20" s="6" t="s">
        <v>749</v>
      </c>
      <c r="O20" s="6" t="s">
        <v>480</v>
      </c>
      <c r="P20" s="6" t="s">
        <v>481</v>
      </c>
      <c r="Q20" s="6" t="s">
        <v>750</v>
      </c>
      <c r="R20" s="6" t="s">
        <v>497</v>
      </c>
      <c r="S20" s="6" t="s">
        <v>484</v>
      </c>
      <c r="T20" s="6" t="s">
        <v>751</v>
      </c>
      <c r="U20" s="6" t="s">
        <v>679</v>
      </c>
      <c r="V20" s="6" t="s">
        <v>486</v>
      </c>
      <c r="W20" s="6" t="s">
        <v>752</v>
      </c>
      <c r="X20" s="6" t="s">
        <v>753</v>
      </c>
      <c r="Y20" s="6" t="s">
        <v>487</v>
      </c>
      <c r="Z20" s="6" t="s">
        <v>477</v>
      </c>
      <c r="AA20" s="6" t="s">
        <v>488</v>
      </c>
      <c r="AB20" s="6" t="s">
        <v>488</v>
      </c>
      <c r="AC20" s="6" t="s">
        <v>488</v>
      </c>
      <c r="AD20" s="6" t="s">
        <v>488</v>
      </c>
      <c r="AE20" s="6" t="s">
        <v>488</v>
      </c>
      <c r="AF20" s="6" t="s">
        <v>488</v>
      </c>
      <c r="AG20" s="6" t="s">
        <v>484</v>
      </c>
      <c r="AH20" s="6" t="s">
        <v>484</v>
      </c>
      <c r="AI20" s="6" t="s">
        <v>484</v>
      </c>
      <c r="AJ20" s="6" t="s">
        <v>484</v>
      </c>
      <c r="AK20" s="6" t="s">
        <v>713</v>
      </c>
      <c r="AL20" s="6" t="s">
        <v>573</v>
      </c>
      <c r="AM20" s="6" t="s">
        <v>484</v>
      </c>
      <c r="AN20" s="6" t="s">
        <v>754</v>
      </c>
    </row>
    <row r="21" customFormat="false" ht="15" hidden="false" customHeight="false" outlineLevel="0" collapsed="false">
      <c r="A21" s="6" t="s">
        <v>755</v>
      </c>
      <c r="B21" s="6" t="s">
        <v>251</v>
      </c>
      <c r="C21" s="6" t="s">
        <v>471</v>
      </c>
      <c r="D21" s="6" t="s">
        <v>471</v>
      </c>
      <c r="E21" s="6" t="s">
        <v>472</v>
      </c>
      <c r="F21" s="6" t="s">
        <v>252</v>
      </c>
      <c r="G21" s="6" t="s">
        <v>756</v>
      </c>
      <c r="H21" s="6" t="s">
        <v>757</v>
      </c>
      <c r="I21" s="6" t="s">
        <v>758</v>
      </c>
      <c r="J21" s="6" t="s">
        <v>530</v>
      </c>
      <c r="K21" s="6" t="s">
        <v>129</v>
      </c>
      <c r="L21" s="6" t="s">
        <v>477</v>
      </c>
      <c r="M21" s="6" t="s">
        <v>478</v>
      </c>
      <c r="N21" s="6" t="s">
        <v>759</v>
      </c>
      <c r="O21" s="6" t="s">
        <v>480</v>
      </c>
      <c r="P21" s="6" t="s">
        <v>533</v>
      </c>
      <c r="Q21" s="6" t="s">
        <v>760</v>
      </c>
      <c r="R21" s="6" t="s">
        <v>761</v>
      </c>
      <c r="S21" s="6" t="s">
        <v>484</v>
      </c>
      <c r="T21" s="6" t="s">
        <v>762</v>
      </c>
      <c r="U21" s="6" t="s">
        <v>679</v>
      </c>
      <c r="V21" s="6" t="s">
        <v>486</v>
      </c>
      <c r="W21" s="6" t="s">
        <v>763</v>
      </c>
      <c r="X21" s="6" t="s">
        <v>764</v>
      </c>
      <c r="Y21" s="6" t="s">
        <v>487</v>
      </c>
      <c r="Z21" s="6" t="s">
        <v>477</v>
      </c>
      <c r="AA21" s="6" t="s">
        <v>488</v>
      </c>
      <c r="AB21" s="6" t="s">
        <v>488</v>
      </c>
      <c r="AC21" s="6" t="s">
        <v>488</v>
      </c>
      <c r="AD21" s="6" t="s">
        <v>488</v>
      </c>
      <c r="AE21" s="6" t="s">
        <v>488</v>
      </c>
      <c r="AF21" s="6" t="s">
        <v>488</v>
      </c>
      <c r="AG21" s="6" t="s">
        <v>484</v>
      </c>
      <c r="AH21" s="6" t="s">
        <v>484</v>
      </c>
      <c r="AI21" s="6" t="s">
        <v>484</v>
      </c>
      <c r="AJ21" s="6" t="s">
        <v>484</v>
      </c>
      <c r="AK21" s="6" t="s">
        <v>765</v>
      </c>
      <c r="AL21" s="6" t="s">
        <v>484</v>
      </c>
      <c r="AM21" s="6" t="s">
        <v>484</v>
      </c>
      <c r="AN21" s="6" t="s">
        <v>766</v>
      </c>
    </row>
    <row r="22" customFormat="false" ht="15" hidden="false" customHeight="false" outlineLevel="0" collapsed="false">
      <c r="A22" s="6" t="s">
        <v>767</v>
      </c>
      <c r="B22" s="6" t="s">
        <v>258</v>
      </c>
      <c r="C22" s="6" t="s">
        <v>471</v>
      </c>
      <c r="D22" s="6" t="s">
        <v>471</v>
      </c>
      <c r="E22" s="6" t="s">
        <v>472</v>
      </c>
      <c r="F22" s="6" t="s">
        <v>259</v>
      </c>
      <c r="G22" s="6" t="s">
        <v>768</v>
      </c>
      <c r="H22" s="6" t="s">
        <v>769</v>
      </c>
      <c r="I22" s="6" t="s">
        <v>770</v>
      </c>
      <c r="J22" s="6" t="s">
        <v>476</v>
      </c>
      <c r="K22" s="6" t="s">
        <v>129</v>
      </c>
      <c r="L22" s="6" t="s">
        <v>477</v>
      </c>
      <c r="M22" s="6" t="s">
        <v>478</v>
      </c>
      <c r="N22" s="6" t="s">
        <v>771</v>
      </c>
      <c r="O22" s="6" t="s">
        <v>532</v>
      </c>
      <c r="P22" s="6" t="s">
        <v>533</v>
      </c>
      <c r="Q22" s="6" t="s">
        <v>772</v>
      </c>
      <c r="R22" s="6" t="s">
        <v>516</v>
      </c>
      <c r="S22" s="6" t="s">
        <v>773</v>
      </c>
      <c r="T22" s="6" t="s">
        <v>774</v>
      </c>
      <c r="U22" s="6" t="s">
        <v>775</v>
      </c>
      <c r="V22" s="6" t="s">
        <v>486</v>
      </c>
      <c r="W22" s="6" t="s">
        <v>776</v>
      </c>
      <c r="X22" s="6" t="s">
        <v>777</v>
      </c>
      <c r="Y22" s="6" t="s">
        <v>778</v>
      </c>
      <c r="Z22" s="6" t="s">
        <v>477</v>
      </c>
      <c r="AA22" s="6" t="s">
        <v>488</v>
      </c>
      <c r="AB22" s="6" t="s">
        <v>488</v>
      </c>
      <c r="AC22" s="6" t="s">
        <v>488</v>
      </c>
      <c r="AD22" s="6" t="s">
        <v>488</v>
      </c>
      <c r="AE22" s="6" t="s">
        <v>488</v>
      </c>
      <c r="AF22" s="6" t="s">
        <v>488</v>
      </c>
      <c r="AG22" s="6" t="s">
        <v>484</v>
      </c>
      <c r="AH22" s="6" t="s">
        <v>484</v>
      </c>
      <c r="AI22" s="6" t="s">
        <v>484</v>
      </c>
      <c r="AJ22" s="6" t="s">
        <v>484</v>
      </c>
      <c r="AK22" s="6" t="s">
        <v>779</v>
      </c>
      <c r="AL22" s="6" t="s">
        <v>589</v>
      </c>
      <c r="AM22" s="6" t="s">
        <v>484</v>
      </c>
      <c r="AN22" s="6" t="s">
        <v>780</v>
      </c>
    </row>
    <row r="23" customFormat="false" ht="15" hidden="false" customHeight="false" outlineLevel="0" collapsed="false">
      <c r="A23" s="6" t="s">
        <v>781</v>
      </c>
      <c r="B23" s="6" t="s">
        <v>357</v>
      </c>
      <c r="C23" s="6" t="s">
        <v>471</v>
      </c>
      <c r="D23" s="6" t="s">
        <v>471</v>
      </c>
      <c r="E23" s="6" t="s">
        <v>472</v>
      </c>
      <c r="F23" s="6" t="s">
        <v>782</v>
      </c>
      <c r="G23" s="6" t="s">
        <v>783</v>
      </c>
      <c r="H23" s="6" t="s">
        <v>784</v>
      </c>
      <c r="I23" s="6" t="s">
        <v>785</v>
      </c>
      <c r="J23" s="6" t="s">
        <v>512</v>
      </c>
      <c r="K23" s="6" t="s">
        <v>129</v>
      </c>
      <c r="L23" s="6" t="s">
        <v>477</v>
      </c>
      <c r="M23" s="6" t="s">
        <v>478</v>
      </c>
      <c r="N23" s="6" t="s">
        <v>786</v>
      </c>
      <c r="O23" s="6" t="s">
        <v>480</v>
      </c>
      <c r="P23" s="6" t="s">
        <v>787</v>
      </c>
      <c r="Q23" s="6" t="s">
        <v>788</v>
      </c>
      <c r="R23" s="6" t="s">
        <v>789</v>
      </c>
      <c r="S23" s="6" t="s">
        <v>484</v>
      </c>
      <c r="T23" s="6" t="s">
        <v>790</v>
      </c>
      <c r="U23" s="6" t="s">
        <v>791</v>
      </c>
      <c r="V23" s="6" t="s">
        <v>539</v>
      </c>
      <c r="W23" s="6" t="s">
        <v>792</v>
      </c>
      <c r="X23" s="6" t="s">
        <v>793</v>
      </c>
      <c r="Y23" s="6" t="s">
        <v>477</v>
      </c>
      <c r="Z23" s="6" t="s">
        <v>477</v>
      </c>
      <c r="AA23" s="6" t="s">
        <v>488</v>
      </c>
      <c r="AB23" s="6" t="s">
        <v>488</v>
      </c>
      <c r="AC23" s="6" t="s">
        <v>488</v>
      </c>
      <c r="AD23" s="6" t="s">
        <v>488</v>
      </c>
      <c r="AE23" s="6" t="s">
        <v>488</v>
      </c>
      <c r="AF23" s="6" t="s">
        <v>488</v>
      </c>
      <c r="AG23" s="6" t="s">
        <v>484</v>
      </c>
      <c r="AH23" s="6" t="s">
        <v>794</v>
      </c>
      <c r="AI23" s="6" t="s">
        <v>484</v>
      </c>
      <c r="AJ23" s="6" t="s">
        <v>484</v>
      </c>
      <c r="AK23" s="6" t="s">
        <v>795</v>
      </c>
      <c r="AL23" s="6" t="s">
        <v>589</v>
      </c>
      <c r="AM23" s="6" t="s">
        <v>484</v>
      </c>
      <c r="AN23" s="6" t="s">
        <v>796</v>
      </c>
    </row>
    <row r="24" customFormat="false" ht="15" hidden="false" customHeight="false" outlineLevel="0" collapsed="false">
      <c r="A24" s="6" t="s">
        <v>797</v>
      </c>
      <c r="B24" s="6" t="s">
        <v>291</v>
      </c>
      <c r="C24" s="6" t="s">
        <v>471</v>
      </c>
      <c r="D24" s="6" t="s">
        <v>471</v>
      </c>
      <c r="E24" s="6" t="s">
        <v>472</v>
      </c>
      <c r="F24" s="6" t="s">
        <v>292</v>
      </c>
      <c r="G24" s="6" t="s">
        <v>798</v>
      </c>
      <c r="H24" s="6" t="s">
        <v>799</v>
      </c>
      <c r="I24" s="6" t="s">
        <v>800</v>
      </c>
      <c r="J24" s="6" t="s">
        <v>530</v>
      </c>
      <c r="K24" s="6" t="s">
        <v>129</v>
      </c>
      <c r="L24" s="6" t="s">
        <v>477</v>
      </c>
      <c r="M24" s="6" t="s">
        <v>478</v>
      </c>
      <c r="N24" s="6" t="s">
        <v>801</v>
      </c>
      <c r="O24" s="6" t="s">
        <v>532</v>
      </c>
      <c r="P24" s="6" t="s">
        <v>481</v>
      </c>
      <c r="Q24" s="6" t="s">
        <v>802</v>
      </c>
      <c r="R24" s="6" t="s">
        <v>497</v>
      </c>
      <c r="S24" s="6" t="s">
        <v>484</v>
      </c>
      <c r="T24" s="6" t="s">
        <v>803</v>
      </c>
      <c r="U24" s="6" t="s">
        <v>804</v>
      </c>
      <c r="V24" s="6" t="s">
        <v>486</v>
      </c>
      <c r="W24" s="6" t="s">
        <v>805</v>
      </c>
      <c r="X24" s="6" t="s">
        <v>806</v>
      </c>
      <c r="Y24" s="6" t="s">
        <v>477</v>
      </c>
      <c r="Z24" s="6" t="s">
        <v>477</v>
      </c>
      <c r="AA24" s="6" t="s">
        <v>488</v>
      </c>
      <c r="AB24" s="6" t="s">
        <v>488</v>
      </c>
      <c r="AC24" s="6" t="s">
        <v>488</v>
      </c>
      <c r="AD24" s="6" t="s">
        <v>488</v>
      </c>
      <c r="AE24" s="6" t="s">
        <v>488</v>
      </c>
      <c r="AF24" s="6" t="s">
        <v>488</v>
      </c>
      <c r="AG24" s="6" t="s">
        <v>484</v>
      </c>
      <c r="AH24" s="6" t="s">
        <v>484</v>
      </c>
      <c r="AI24" s="6" t="s">
        <v>484</v>
      </c>
      <c r="AJ24" s="6" t="s">
        <v>573</v>
      </c>
      <c r="AK24" s="6" t="s">
        <v>807</v>
      </c>
      <c r="AL24" s="6" t="s">
        <v>573</v>
      </c>
      <c r="AM24" s="6" t="s">
        <v>808</v>
      </c>
      <c r="AN24" s="6" t="s">
        <v>809</v>
      </c>
    </row>
    <row r="25" customFormat="false" ht="15" hidden="false" customHeight="false" outlineLevel="0" collapsed="false">
      <c r="A25" s="6" t="s">
        <v>810</v>
      </c>
      <c r="B25" s="6" t="s">
        <v>134</v>
      </c>
      <c r="C25" s="6" t="s">
        <v>471</v>
      </c>
      <c r="D25" s="6" t="s">
        <v>471</v>
      </c>
      <c r="E25" s="6" t="s">
        <v>472</v>
      </c>
      <c r="F25" s="6" t="s">
        <v>135</v>
      </c>
      <c r="G25" s="6" t="s">
        <v>811</v>
      </c>
      <c r="H25" s="6" t="s">
        <v>477</v>
      </c>
      <c r="I25" s="6" t="s">
        <v>812</v>
      </c>
      <c r="J25" s="6" t="s">
        <v>530</v>
      </c>
      <c r="K25" s="6" t="s">
        <v>129</v>
      </c>
      <c r="L25" s="6" t="s">
        <v>813</v>
      </c>
      <c r="M25" s="6" t="s">
        <v>478</v>
      </c>
      <c r="N25" s="6" t="s">
        <v>814</v>
      </c>
      <c r="O25" s="6" t="s">
        <v>480</v>
      </c>
      <c r="P25" s="6" t="s">
        <v>815</v>
      </c>
      <c r="Q25" s="6" t="s">
        <v>760</v>
      </c>
      <c r="R25" s="6" t="s">
        <v>761</v>
      </c>
      <c r="S25" s="6" t="s">
        <v>484</v>
      </c>
      <c r="T25" s="6" t="s">
        <v>816</v>
      </c>
      <c r="U25" s="6" t="s">
        <v>679</v>
      </c>
      <c r="V25" s="6" t="s">
        <v>486</v>
      </c>
      <c r="W25" s="6" t="s">
        <v>679</v>
      </c>
      <c r="X25" s="6" t="s">
        <v>484</v>
      </c>
      <c r="Y25" s="6" t="s">
        <v>477</v>
      </c>
      <c r="Z25" s="6" t="s">
        <v>477</v>
      </c>
      <c r="AA25" s="6" t="s">
        <v>488</v>
      </c>
      <c r="AB25" s="6" t="s">
        <v>488</v>
      </c>
      <c r="AC25" s="6" t="s">
        <v>488</v>
      </c>
      <c r="AD25" s="6" t="s">
        <v>488</v>
      </c>
      <c r="AE25" s="6" t="s">
        <v>488</v>
      </c>
      <c r="AF25" s="6" t="s">
        <v>488</v>
      </c>
      <c r="AG25" s="6" t="s">
        <v>571</v>
      </c>
      <c r="AH25" s="6" t="s">
        <v>817</v>
      </c>
      <c r="AI25" s="6" t="s">
        <v>573</v>
      </c>
      <c r="AJ25" s="6" t="s">
        <v>484</v>
      </c>
      <c r="AK25" s="6" t="s">
        <v>484</v>
      </c>
      <c r="AL25" s="6" t="s">
        <v>484</v>
      </c>
      <c r="AM25" s="6" t="s">
        <v>484</v>
      </c>
      <c r="AN25" s="6" t="s">
        <v>818</v>
      </c>
    </row>
    <row r="26" customFormat="false" ht="15" hidden="false" customHeight="false" outlineLevel="0" collapsed="false">
      <c r="A26" s="6" t="s">
        <v>819</v>
      </c>
      <c r="B26" s="6" t="s">
        <v>359</v>
      </c>
      <c r="C26" s="6" t="s">
        <v>471</v>
      </c>
      <c r="D26" s="6" t="s">
        <v>471</v>
      </c>
      <c r="E26" s="6" t="s">
        <v>472</v>
      </c>
      <c r="F26" s="6" t="s">
        <v>360</v>
      </c>
      <c r="G26" s="6" t="s">
        <v>820</v>
      </c>
      <c r="H26" s="6" t="s">
        <v>821</v>
      </c>
      <c r="I26" s="6" t="s">
        <v>822</v>
      </c>
      <c r="J26" s="6" t="s">
        <v>530</v>
      </c>
      <c r="K26" s="6" t="s">
        <v>129</v>
      </c>
      <c r="L26" s="6" t="s">
        <v>823</v>
      </c>
      <c r="M26" s="6" t="s">
        <v>478</v>
      </c>
      <c r="N26" s="6" t="s">
        <v>824</v>
      </c>
      <c r="O26" s="6" t="s">
        <v>532</v>
      </c>
      <c r="P26" s="6" t="s">
        <v>825</v>
      </c>
      <c r="Q26" s="6" t="s">
        <v>826</v>
      </c>
      <c r="R26" s="6" t="s">
        <v>827</v>
      </c>
      <c r="S26" s="6" t="s">
        <v>484</v>
      </c>
      <c r="T26" s="6" t="s">
        <v>828</v>
      </c>
      <c r="U26" s="6" t="s">
        <v>829</v>
      </c>
      <c r="V26" s="6" t="s">
        <v>486</v>
      </c>
      <c r="W26" s="6" t="s">
        <v>830</v>
      </c>
      <c r="X26" s="6" t="s">
        <v>831</v>
      </c>
      <c r="Y26" s="6" t="s">
        <v>477</v>
      </c>
      <c r="Z26" s="6" t="s">
        <v>477</v>
      </c>
      <c r="AA26" s="6" t="s">
        <v>488</v>
      </c>
      <c r="AB26" s="6" t="s">
        <v>488</v>
      </c>
      <c r="AC26" s="6" t="s">
        <v>488</v>
      </c>
      <c r="AD26" s="6" t="s">
        <v>488</v>
      </c>
      <c r="AE26" s="6" t="s">
        <v>488</v>
      </c>
      <c r="AF26" s="6" t="s">
        <v>488</v>
      </c>
      <c r="AG26" s="6" t="s">
        <v>484</v>
      </c>
      <c r="AH26" s="6" t="s">
        <v>484</v>
      </c>
      <c r="AI26" s="6" t="s">
        <v>484</v>
      </c>
      <c r="AJ26" s="6" t="s">
        <v>573</v>
      </c>
      <c r="AK26" s="6" t="s">
        <v>832</v>
      </c>
      <c r="AL26" s="6" t="s">
        <v>573</v>
      </c>
      <c r="AM26" s="6" t="s">
        <v>484</v>
      </c>
      <c r="AN26" s="6" t="s">
        <v>833</v>
      </c>
    </row>
    <row r="27" customFormat="false" ht="15" hidden="false" customHeight="false" outlineLevel="0" collapsed="false">
      <c r="A27" s="6" t="s">
        <v>834</v>
      </c>
      <c r="B27" s="6" t="s">
        <v>143</v>
      </c>
      <c r="C27" s="6" t="s">
        <v>471</v>
      </c>
      <c r="D27" s="6" t="s">
        <v>471</v>
      </c>
      <c r="E27" s="6" t="s">
        <v>472</v>
      </c>
      <c r="F27" s="6" t="s">
        <v>508</v>
      </c>
      <c r="G27" s="6" t="s">
        <v>835</v>
      </c>
      <c r="H27" s="6" t="s">
        <v>836</v>
      </c>
      <c r="I27" s="6" t="s">
        <v>837</v>
      </c>
      <c r="J27" s="6" t="s">
        <v>530</v>
      </c>
      <c r="K27" s="6" t="s">
        <v>129</v>
      </c>
      <c r="L27" s="6" t="s">
        <v>477</v>
      </c>
      <c r="M27" s="6" t="s">
        <v>478</v>
      </c>
      <c r="N27" s="6" t="s">
        <v>838</v>
      </c>
      <c r="O27" s="6" t="s">
        <v>480</v>
      </c>
      <c r="P27" s="6" t="s">
        <v>481</v>
      </c>
      <c r="Q27" s="6" t="s">
        <v>839</v>
      </c>
      <c r="R27" s="6" t="s">
        <v>497</v>
      </c>
      <c r="S27" s="6" t="s">
        <v>840</v>
      </c>
      <c r="T27" s="6" t="s">
        <v>841</v>
      </c>
      <c r="U27" s="6" t="s">
        <v>679</v>
      </c>
      <c r="V27" s="6" t="s">
        <v>486</v>
      </c>
      <c r="W27" s="6" t="s">
        <v>842</v>
      </c>
      <c r="X27" s="6" t="s">
        <v>843</v>
      </c>
      <c r="Y27" s="6" t="s">
        <v>522</v>
      </c>
      <c r="Z27" s="6" t="s">
        <v>477</v>
      </c>
      <c r="AA27" s="6" t="s">
        <v>488</v>
      </c>
      <c r="AB27" s="6" t="s">
        <v>488</v>
      </c>
      <c r="AC27" s="6" t="s">
        <v>488</v>
      </c>
      <c r="AD27" s="6" t="s">
        <v>488</v>
      </c>
      <c r="AE27" s="6" t="s">
        <v>488</v>
      </c>
      <c r="AF27" s="6" t="s">
        <v>488</v>
      </c>
      <c r="AG27" s="6" t="s">
        <v>587</v>
      </c>
      <c r="AH27" s="6" t="s">
        <v>844</v>
      </c>
      <c r="AI27" s="6" t="s">
        <v>573</v>
      </c>
      <c r="AJ27" s="6" t="s">
        <v>484</v>
      </c>
      <c r="AK27" s="6" t="s">
        <v>484</v>
      </c>
      <c r="AL27" s="6" t="s">
        <v>484</v>
      </c>
      <c r="AM27" s="6" t="s">
        <v>484</v>
      </c>
      <c r="AN27" s="6" t="s">
        <v>845</v>
      </c>
    </row>
    <row r="28" customFormat="false" ht="15" hidden="false" customHeight="false" outlineLevel="0" collapsed="false">
      <c r="A28" s="6" t="s">
        <v>846</v>
      </c>
      <c r="B28" s="6" t="s">
        <v>134</v>
      </c>
      <c r="C28" s="6" t="s">
        <v>471</v>
      </c>
      <c r="D28" s="6" t="s">
        <v>471</v>
      </c>
      <c r="E28" s="6" t="s">
        <v>472</v>
      </c>
      <c r="F28" s="6" t="s">
        <v>135</v>
      </c>
      <c r="G28" s="6" t="s">
        <v>847</v>
      </c>
      <c r="H28" s="6" t="s">
        <v>848</v>
      </c>
      <c r="I28" s="6" t="s">
        <v>849</v>
      </c>
      <c r="J28" s="6" t="s">
        <v>530</v>
      </c>
      <c r="K28" s="6" t="s">
        <v>129</v>
      </c>
      <c r="L28" s="6" t="s">
        <v>477</v>
      </c>
      <c r="M28" s="6" t="s">
        <v>478</v>
      </c>
      <c r="N28" s="6" t="s">
        <v>850</v>
      </c>
      <c r="O28" s="6" t="s">
        <v>480</v>
      </c>
      <c r="P28" s="6" t="s">
        <v>481</v>
      </c>
      <c r="Q28" s="6" t="s">
        <v>851</v>
      </c>
      <c r="R28" s="6" t="s">
        <v>852</v>
      </c>
      <c r="S28" s="6" t="s">
        <v>484</v>
      </c>
      <c r="T28" s="6" t="s">
        <v>853</v>
      </c>
      <c r="U28" s="6" t="s">
        <v>679</v>
      </c>
      <c r="V28" s="6" t="s">
        <v>486</v>
      </c>
      <c r="W28" s="6" t="s">
        <v>625</v>
      </c>
      <c r="X28" s="6" t="s">
        <v>484</v>
      </c>
      <c r="Y28" s="6" t="s">
        <v>477</v>
      </c>
      <c r="Z28" s="6" t="s">
        <v>477</v>
      </c>
      <c r="AA28" s="6" t="s">
        <v>488</v>
      </c>
      <c r="AB28" s="6" t="s">
        <v>488</v>
      </c>
      <c r="AC28" s="6" t="s">
        <v>488</v>
      </c>
      <c r="AD28" s="6" t="s">
        <v>488</v>
      </c>
      <c r="AE28" s="6" t="s">
        <v>488</v>
      </c>
      <c r="AF28" s="6" t="s">
        <v>488</v>
      </c>
      <c r="AG28" s="6" t="s">
        <v>484</v>
      </c>
      <c r="AH28" s="6" t="s">
        <v>854</v>
      </c>
      <c r="AI28" s="6" t="s">
        <v>484</v>
      </c>
      <c r="AJ28" s="6" t="s">
        <v>484</v>
      </c>
      <c r="AK28" s="6" t="s">
        <v>855</v>
      </c>
      <c r="AL28" s="6" t="s">
        <v>484</v>
      </c>
      <c r="AM28" s="6" t="s">
        <v>484</v>
      </c>
      <c r="AN28" s="6" t="s">
        <v>856</v>
      </c>
    </row>
    <row r="29" customFormat="false" ht="15" hidden="false" customHeight="false" outlineLevel="0" collapsed="false">
      <c r="A29" s="6" t="s">
        <v>857</v>
      </c>
      <c r="B29" s="6" t="s">
        <v>374</v>
      </c>
      <c r="C29" s="6" t="s">
        <v>471</v>
      </c>
      <c r="D29" s="6" t="s">
        <v>471</v>
      </c>
      <c r="E29" s="6" t="s">
        <v>472</v>
      </c>
      <c r="F29" s="6" t="s">
        <v>378</v>
      </c>
      <c r="G29" s="6" t="s">
        <v>858</v>
      </c>
      <c r="H29" s="6" t="s">
        <v>859</v>
      </c>
      <c r="I29" s="6" t="s">
        <v>860</v>
      </c>
      <c r="J29" s="6" t="s">
        <v>530</v>
      </c>
      <c r="K29" s="6" t="s">
        <v>129</v>
      </c>
      <c r="L29" s="6" t="s">
        <v>477</v>
      </c>
      <c r="M29" s="6" t="s">
        <v>478</v>
      </c>
      <c r="N29" s="6" t="s">
        <v>861</v>
      </c>
      <c r="O29" s="6" t="s">
        <v>480</v>
      </c>
      <c r="P29" s="6" t="s">
        <v>481</v>
      </c>
      <c r="Q29" s="6" t="s">
        <v>862</v>
      </c>
      <c r="R29" s="6" t="s">
        <v>497</v>
      </c>
      <c r="S29" s="6" t="s">
        <v>484</v>
      </c>
      <c r="T29" s="6" t="s">
        <v>863</v>
      </c>
      <c r="U29" s="6" t="s">
        <v>864</v>
      </c>
      <c r="V29" s="6" t="s">
        <v>486</v>
      </c>
      <c r="W29" s="6" t="s">
        <v>865</v>
      </c>
      <c r="X29" s="6" t="s">
        <v>681</v>
      </c>
      <c r="Y29" s="6" t="s">
        <v>487</v>
      </c>
      <c r="Z29" s="6" t="s">
        <v>477</v>
      </c>
      <c r="AA29" s="6" t="s">
        <v>488</v>
      </c>
      <c r="AB29" s="6" t="s">
        <v>488</v>
      </c>
      <c r="AC29" s="6" t="s">
        <v>488</v>
      </c>
      <c r="AD29" s="6" t="s">
        <v>488</v>
      </c>
      <c r="AE29" s="6" t="s">
        <v>488</v>
      </c>
      <c r="AF29" s="6" t="s">
        <v>488</v>
      </c>
      <c r="AG29" s="6" t="s">
        <v>484</v>
      </c>
      <c r="AH29" s="6" t="s">
        <v>866</v>
      </c>
      <c r="AI29" s="6" t="s">
        <v>484</v>
      </c>
      <c r="AJ29" s="6" t="s">
        <v>573</v>
      </c>
      <c r="AK29" s="6" t="s">
        <v>867</v>
      </c>
      <c r="AL29" s="6" t="s">
        <v>484</v>
      </c>
      <c r="AM29" s="6" t="s">
        <v>868</v>
      </c>
      <c r="AN29" s="6" t="s">
        <v>869</v>
      </c>
    </row>
    <row r="30" customFormat="false" ht="15" hidden="false" customHeight="false" outlineLevel="0" collapsed="false">
      <c r="A30" s="6" t="s">
        <v>870</v>
      </c>
      <c r="B30" s="6" t="s">
        <v>374</v>
      </c>
      <c r="C30" s="6" t="s">
        <v>471</v>
      </c>
      <c r="D30" s="6" t="s">
        <v>471</v>
      </c>
      <c r="E30" s="6" t="s">
        <v>642</v>
      </c>
      <c r="F30" s="6" t="s">
        <v>379</v>
      </c>
      <c r="G30" s="6" t="s">
        <v>871</v>
      </c>
      <c r="H30" s="6" t="s">
        <v>872</v>
      </c>
      <c r="I30" s="6" t="s">
        <v>873</v>
      </c>
      <c r="J30" s="6" t="s">
        <v>530</v>
      </c>
      <c r="K30" s="6" t="s">
        <v>129</v>
      </c>
      <c r="L30" s="6" t="s">
        <v>733</v>
      </c>
      <c r="M30" s="6" t="s">
        <v>478</v>
      </c>
      <c r="N30" s="6" t="s">
        <v>874</v>
      </c>
      <c r="O30" s="6" t="s">
        <v>480</v>
      </c>
      <c r="P30" s="6" t="s">
        <v>481</v>
      </c>
      <c r="Q30" s="6" t="s">
        <v>875</v>
      </c>
      <c r="R30" s="6" t="s">
        <v>497</v>
      </c>
      <c r="S30" s="6" t="s">
        <v>876</v>
      </c>
      <c r="T30" s="6" t="s">
        <v>877</v>
      </c>
      <c r="U30" s="6" t="s">
        <v>878</v>
      </c>
      <c r="V30" s="6" t="s">
        <v>486</v>
      </c>
      <c r="W30" s="6" t="s">
        <v>879</v>
      </c>
      <c r="X30" s="6" t="s">
        <v>880</v>
      </c>
      <c r="Y30" s="6" t="s">
        <v>881</v>
      </c>
      <c r="Z30" s="6" t="s">
        <v>477</v>
      </c>
      <c r="AA30" s="6" t="s">
        <v>488</v>
      </c>
      <c r="AB30" s="6" t="s">
        <v>488</v>
      </c>
      <c r="AC30" s="6" t="s">
        <v>488</v>
      </c>
      <c r="AD30" s="6" t="s">
        <v>488</v>
      </c>
      <c r="AE30" s="6" t="s">
        <v>488</v>
      </c>
      <c r="AF30" s="6" t="s">
        <v>488</v>
      </c>
      <c r="AG30" s="6" t="s">
        <v>484</v>
      </c>
      <c r="AH30" s="6" t="s">
        <v>882</v>
      </c>
      <c r="AI30" s="6" t="s">
        <v>484</v>
      </c>
      <c r="AJ30" s="6" t="s">
        <v>484</v>
      </c>
      <c r="AK30" s="6" t="s">
        <v>855</v>
      </c>
      <c r="AL30" s="6" t="s">
        <v>573</v>
      </c>
      <c r="AM30" s="6" t="s">
        <v>484</v>
      </c>
      <c r="AN30" s="6" t="s">
        <v>883</v>
      </c>
    </row>
    <row r="31" customFormat="false" ht="15" hidden="false" customHeight="false" outlineLevel="0" collapsed="false">
      <c r="A31" s="6" t="s">
        <v>884</v>
      </c>
      <c r="B31" s="6" t="s">
        <v>136</v>
      </c>
      <c r="C31" s="6" t="s">
        <v>471</v>
      </c>
      <c r="D31" s="6" t="s">
        <v>471</v>
      </c>
      <c r="E31" s="6" t="s">
        <v>885</v>
      </c>
      <c r="F31" s="6" t="s">
        <v>886</v>
      </c>
      <c r="G31" s="6" t="s">
        <v>887</v>
      </c>
      <c r="H31" s="6" t="s">
        <v>888</v>
      </c>
      <c r="I31" s="6" t="s">
        <v>889</v>
      </c>
      <c r="J31" s="6" t="s">
        <v>530</v>
      </c>
      <c r="K31" s="6" t="s">
        <v>129</v>
      </c>
      <c r="L31" s="6" t="s">
        <v>129</v>
      </c>
      <c r="M31" s="6" t="s">
        <v>478</v>
      </c>
      <c r="N31" s="6" t="s">
        <v>890</v>
      </c>
      <c r="O31" s="6" t="s">
        <v>480</v>
      </c>
      <c r="P31" s="6" t="s">
        <v>481</v>
      </c>
      <c r="Q31" s="6" t="s">
        <v>891</v>
      </c>
      <c r="R31" s="6" t="s">
        <v>892</v>
      </c>
      <c r="S31" s="6" t="s">
        <v>484</v>
      </c>
      <c r="T31" s="6" t="s">
        <v>893</v>
      </c>
      <c r="U31" s="6" t="s">
        <v>894</v>
      </c>
      <c r="V31" s="6" t="s">
        <v>486</v>
      </c>
      <c r="W31" s="6" t="s">
        <v>895</v>
      </c>
      <c r="X31" s="6" t="s">
        <v>896</v>
      </c>
      <c r="Y31" s="6" t="s">
        <v>477</v>
      </c>
      <c r="Z31" s="6" t="s">
        <v>477</v>
      </c>
      <c r="AA31" s="6" t="s">
        <v>488</v>
      </c>
      <c r="AB31" s="6" t="s">
        <v>488</v>
      </c>
      <c r="AC31" s="6" t="s">
        <v>488</v>
      </c>
      <c r="AD31" s="6" t="s">
        <v>488</v>
      </c>
      <c r="AE31" s="6" t="s">
        <v>488</v>
      </c>
      <c r="AF31" s="6" t="s">
        <v>488</v>
      </c>
      <c r="AG31" s="6" t="s">
        <v>484</v>
      </c>
      <c r="AH31" s="6" t="s">
        <v>897</v>
      </c>
      <c r="AI31" s="6" t="s">
        <v>484</v>
      </c>
      <c r="AJ31" s="6" t="s">
        <v>484</v>
      </c>
      <c r="AK31" s="6" t="s">
        <v>898</v>
      </c>
      <c r="AL31" s="6" t="s">
        <v>589</v>
      </c>
      <c r="AM31" s="6" t="s">
        <v>899</v>
      </c>
      <c r="AN31" s="6" t="s">
        <v>900</v>
      </c>
    </row>
    <row r="32" customFormat="false" ht="15" hidden="false" customHeight="false" outlineLevel="0" collapsed="false">
      <c r="A32" s="6" t="s">
        <v>901</v>
      </c>
      <c r="B32" s="6" t="s">
        <v>187</v>
      </c>
      <c r="C32" s="6" t="s">
        <v>471</v>
      </c>
      <c r="D32" s="6" t="s">
        <v>471</v>
      </c>
      <c r="E32" s="6" t="s">
        <v>642</v>
      </c>
      <c r="F32" s="6" t="s">
        <v>188</v>
      </c>
      <c r="G32" s="6" t="s">
        <v>902</v>
      </c>
      <c r="H32" s="6" t="s">
        <v>903</v>
      </c>
      <c r="I32" s="6" t="s">
        <v>904</v>
      </c>
      <c r="J32" s="6" t="s">
        <v>530</v>
      </c>
      <c r="K32" s="6" t="s">
        <v>129</v>
      </c>
      <c r="L32" s="6" t="s">
        <v>905</v>
      </c>
      <c r="M32" s="6" t="s">
        <v>478</v>
      </c>
      <c r="N32" s="6" t="s">
        <v>906</v>
      </c>
      <c r="O32" s="6" t="s">
        <v>532</v>
      </c>
      <c r="P32" s="6" t="s">
        <v>907</v>
      </c>
      <c r="Q32" s="6" t="s">
        <v>677</v>
      </c>
      <c r="R32" s="6" t="s">
        <v>497</v>
      </c>
      <c r="S32" s="6" t="s">
        <v>484</v>
      </c>
      <c r="T32" s="6" t="s">
        <v>908</v>
      </c>
      <c r="U32" s="6" t="s">
        <v>909</v>
      </c>
      <c r="V32" s="6" t="s">
        <v>568</v>
      </c>
      <c r="W32" s="6" t="s">
        <v>910</v>
      </c>
      <c r="X32" s="6" t="s">
        <v>911</v>
      </c>
      <c r="Y32" s="6" t="s">
        <v>487</v>
      </c>
      <c r="Z32" s="6" t="s">
        <v>477</v>
      </c>
      <c r="AA32" s="6" t="s">
        <v>488</v>
      </c>
      <c r="AB32" s="6" t="s">
        <v>488</v>
      </c>
      <c r="AC32" s="6" t="s">
        <v>488</v>
      </c>
      <c r="AD32" s="6" t="s">
        <v>488</v>
      </c>
      <c r="AE32" s="6" t="s">
        <v>488</v>
      </c>
      <c r="AF32" s="6" t="s">
        <v>488</v>
      </c>
      <c r="AG32" s="6" t="s">
        <v>484</v>
      </c>
      <c r="AH32" s="6" t="s">
        <v>912</v>
      </c>
      <c r="AI32" s="6" t="s">
        <v>484</v>
      </c>
      <c r="AJ32" s="6" t="s">
        <v>484</v>
      </c>
      <c r="AK32" s="6" t="s">
        <v>516</v>
      </c>
      <c r="AL32" s="6" t="s">
        <v>484</v>
      </c>
      <c r="AM32" s="6" t="s">
        <v>573</v>
      </c>
      <c r="AN32" s="6" t="s">
        <v>913</v>
      </c>
    </row>
    <row r="33" customFormat="false" ht="15" hidden="false" customHeight="false" outlineLevel="0" collapsed="false">
      <c r="A33" s="6" t="s">
        <v>914</v>
      </c>
      <c r="B33" s="6" t="s">
        <v>374</v>
      </c>
      <c r="C33" s="6" t="s">
        <v>471</v>
      </c>
      <c r="D33" s="6" t="s">
        <v>471</v>
      </c>
      <c r="E33" s="6" t="s">
        <v>472</v>
      </c>
      <c r="F33" s="6" t="s">
        <v>380</v>
      </c>
      <c r="G33" s="6" t="s">
        <v>915</v>
      </c>
      <c r="H33" s="6" t="s">
        <v>916</v>
      </c>
      <c r="I33" s="6" t="s">
        <v>917</v>
      </c>
      <c r="J33" s="6" t="s">
        <v>530</v>
      </c>
      <c r="K33" s="6" t="s">
        <v>129</v>
      </c>
      <c r="L33" s="6" t="s">
        <v>477</v>
      </c>
      <c r="M33" s="6" t="s">
        <v>478</v>
      </c>
      <c r="N33" s="6" t="s">
        <v>918</v>
      </c>
      <c r="O33" s="6" t="s">
        <v>480</v>
      </c>
      <c r="P33" s="6" t="s">
        <v>533</v>
      </c>
      <c r="Q33" s="6" t="s">
        <v>919</v>
      </c>
      <c r="R33" s="6" t="s">
        <v>920</v>
      </c>
      <c r="S33" s="6" t="s">
        <v>484</v>
      </c>
      <c r="T33" s="6" t="s">
        <v>921</v>
      </c>
      <c r="U33" s="6" t="s">
        <v>922</v>
      </c>
      <c r="V33" s="6" t="s">
        <v>486</v>
      </c>
      <c r="W33" s="6" t="s">
        <v>923</v>
      </c>
      <c r="X33" s="6" t="s">
        <v>681</v>
      </c>
      <c r="Y33" s="6" t="s">
        <v>924</v>
      </c>
      <c r="Z33" s="6" t="s">
        <v>477</v>
      </c>
      <c r="AA33" s="6" t="s">
        <v>488</v>
      </c>
      <c r="AB33" s="6" t="s">
        <v>488</v>
      </c>
      <c r="AC33" s="6" t="s">
        <v>488</v>
      </c>
      <c r="AD33" s="6" t="s">
        <v>488</v>
      </c>
      <c r="AE33" s="6" t="s">
        <v>488</v>
      </c>
      <c r="AF33" s="6" t="s">
        <v>488</v>
      </c>
      <c r="AG33" s="6" t="s">
        <v>571</v>
      </c>
      <c r="AH33" s="6" t="s">
        <v>925</v>
      </c>
      <c r="AI33" s="6" t="s">
        <v>926</v>
      </c>
      <c r="AJ33" s="6" t="s">
        <v>484</v>
      </c>
      <c r="AK33" s="6" t="s">
        <v>698</v>
      </c>
      <c r="AL33" s="6" t="s">
        <v>484</v>
      </c>
      <c r="AM33" s="6" t="s">
        <v>484</v>
      </c>
      <c r="AN33" s="6" t="s">
        <v>927</v>
      </c>
    </row>
    <row r="34" customFormat="false" ht="15" hidden="false" customHeight="false" outlineLevel="0" collapsed="false">
      <c r="A34" s="6" t="s">
        <v>928</v>
      </c>
      <c r="B34" s="6" t="s">
        <v>149</v>
      </c>
      <c r="C34" s="6" t="s">
        <v>471</v>
      </c>
      <c r="D34" s="6" t="s">
        <v>471</v>
      </c>
      <c r="E34" s="6" t="s">
        <v>472</v>
      </c>
      <c r="F34" s="6" t="s">
        <v>150</v>
      </c>
      <c r="G34" s="6" t="s">
        <v>929</v>
      </c>
      <c r="H34" s="6" t="s">
        <v>930</v>
      </c>
      <c r="I34" s="6" t="s">
        <v>931</v>
      </c>
      <c r="J34" s="6" t="s">
        <v>530</v>
      </c>
      <c r="K34" s="6" t="s">
        <v>129</v>
      </c>
      <c r="L34" s="6" t="s">
        <v>733</v>
      </c>
      <c r="M34" s="6" t="s">
        <v>478</v>
      </c>
      <c r="N34" s="6" t="s">
        <v>932</v>
      </c>
      <c r="O34" s="6" t="s">
        <v>480</v>
      </c>
      <c r="P34" s="6" t="s">
        <v>533</v>
      </c>
      <c r="Q34" s="6" t="s">
        <v>677</v>
      </c>
      <c r="R34" s="6" t="s">
        <v>933</v>
      </c>
      <c r="S34" s="6" t="s">
        <v>484</v>
      </c>
      <c r="T34" s="6" t="s">
        <v>934</v>
      </c>
      <c r="U34" s="6" t="s">
        <v>935</v>
      </c>
      <c r="V34" s="6" t="s">
        <v>486</v>
      </c>
      <c r="W34" s="6" t="s">
        <v>936</v>
      </c>
      <c r="X34" s="6" t="s">
        <v>937</v>
      </c>
      <c r="Y34" s="6" t="s">
        <v>938</v>
      </c>
      <c r="Z34" s="6" t="s">
        <v>477</v>
      </c>
      <c r="AA34" s="6" t="s">
        <v>488</v>
      </c>
      <c r="AB34" s="6" t="s">
        <v>488</v>
      </c>
      <c r="AC34" s="6" t="s">
        <v>488</v>
      </c>
      <c r="AD34" s="6" t="s">
        <v>488</v>
      </c>
      <c r="AE34" s="6" t="s">
        <v>488</v>
      </c>
      <c r="AF34" s="6" t="s">
        <v>488</v>
      </c>
      <c r="AG34" s="6" t="s">
        <v>571</v>
      </c>
      <c r="AH34" s="6" t="s">
        <v>939</v>
      </c>
      <c r="AI34" s="6" t="s">
        <v>940</v>
      </c>
      <c r="AJ34" s="6" t="s">
        <v>589</v>
      </c>
      <c r="AK34" s="6" t="s">
        <v>941</v>
      </c>
      <c r="AL34" s="6" t="s">
        <v>589</v>
      </c>
      <c r="AM34" s="6" t="s">
        <v>484</v>
      </c>
      <c r="AN34" s="6" t="s">
        <v>942</v>
      </c>
    </row>
    <row r="35" customFormat="false" ht="15" hidden="false" customHeight="false" outlineLevel="0" collapsed="false">
      <c r="A35" s="6" t="s">
        <v>943</v>
      </c>
      <c r="B35" s="6" t="s">
        <v>219</v>
      </c>
      <c r="C35" s="6" t="s">
        <v>471</v>
      </c>
      <c r="D35" s="6" t="s">
        <v>471</v>
      </c>
      <c r="E35" s="6" t="s">
        <v>472</v>
      </c>
      <c r="F35" s="6" t="s">
        <v>220</v>
      </c>
      <c r="G35" s="6" t="s">
        <v>944</v>
      </c>
      <c r="H35" s="6" t="s">
        <v>945</v>
      </c>
      <c r="I35" s="6" t="s">
        <v>946</v>
      </c>
      <c r="J35" s="6" t="s">
        <v>530</v>
      </c>
      <c r="K35" s="6" t="s">
        <v>129</v>
      </c>
      <c r="L35" s="6" t="s">
        <v>947</v>
      </c>
      <c r="M35" s="6" t="s">
        <v>478</v>
      </c>
      <c r="N35" s="6" t="s">
        <v>948</v>
      </c>
      <c r="O35" s="6" t="s">
        <v>480</v>
      </c>
      <c r="P35" s="6" t="s">
        <v>481</v>
      </c>
      <c r="Q35" s="6" t="s">
        <v>949</v>
      </c>
      <c r="R35" s="6" t="s">
        <v>950</v>
      </c>
      <c r="S35" s="6" t="s">
        <v>484</v>
      </c>
      <c r="T35" s="6" t="s">
        <v>951</v>
      </c>
      <c r="U35" s="6" t="s">
        <v>679</v>
      </c>
      <c r="V35" s="6" t="s">
        <v>539</v>
      </c>
      <c r="W35" s="6" t="s">
        <v>952</v>
      </c>
      <c r="X35" s="6" t="s">
        <v>953</v>
      </c>
      <c r="Y35" s="6" t="s">
        <v>954</v>
      </c>
      <c r="Z35" s="6" t="s">
        <v>477</v>
      </c>
      <c r="AA35" s="6" t="s">
        <v>488</v>
      </c>
      <c r="AB35" s="6" t="s">
        <v>488</v>
      </c>
      <c r="AC35" s="6" t="s">
        <v>488</v>
      </c>
      <c r="AD35" s="6" t="s">
        <v>488</v>
      </c>
      <c r="AE35" s="6" t="s">
        <v>488</v>
      </c>
      <c r="AF35" s="6" t="s">
        <v>488</v>
      </c>
      <c r="AG35" s="6" t="s">
        <v>484</v>
      </c>
      <c r="AH35" s="6" t="s">
        <v>484</v>
      </c>
      <c r="AI35" s="6" t="s">
        <v>484</v>
      </c>
      <c r="AJ35" s="6" t="s">
        <v>484</v>
      </c>
      <c r="AK35" s="6" t="s">
        <v>484</v>
      </c>
      <c r="AL35" s="6" t="s">
        <v>484</v>
      </c>
      <c r="AM35" s="6" t="s">
        <v>484</v>
      </c>
      <c r="AN35" s="6" t="s">
        <v>955</v>
      </c>
    </row>
    <row r="36" customFormat="false" ht="15" hidden="false" customHeight="false" outlineLevel="0" collapsed="false">
      <c r="A36" s="6" t="s">
        <v>956</v>
      </c>
      <c r="B36" s="6" t="s">
        <v>203</v>
      </c>
      <c r="C36" s="6" t="s">
        <v>471</v>
      </c>
      <c r="D36" s="6" t="s">
        <v>471</v>
      </c>
      <c r="E36" s="6" t="s">
        <v>472</v>
      </c>
      <c r="F36" s="6" t="s">
        <v>204</v>
      </c>
      <c r="G36" s="6" t="s">
        <v>957</v>
      </c>
      <c r="H36" s="6" t="s">
        <v>958</v>
      </c>
      <c r="I36" s="6" t="s">
        <v>959</v>
      </c>
      <c r="J36" s="6" t="s">
        <v>530</v>
      </c>
      <c r="K36" s="6" t="s">
        <v>129</v>
      </c>
      <c r="L36" s="6" t="s">
        <v>477</v>
      </c>
      <c r="M36" s="6" t="s">
        <v>478</v>
      </c>
      <c r="N36" s="6" t="s">
        <v>960</v>
      </c>
      <c r="O36" s="6" t="s">
        <v>480</v>
      </c>
      <c r="P36" s="6" t="s">
        <v>481</v>
      </c>
      <c r="Q36" s="6" t="s">
        <v>961</v>
      </c>
      <c r="R36" s="6" t="s">
        <v>962</v>
      </c>
      <c r="S36" s="6" t="s">
        <v>484</v>
      </c>
      <c r="T36" s="6" t="s">
        <v>963</v>
      </c>
      <c r="U36" s="6" t="s">
        <v>679</v>
      </c>
      <c r="V36" s="6" t="s">
        <v>539</v>
      </c>
      <c r="W36" s="6" t="s">
        <v>964</v>
      </c>
      <c r="X36" s="6" t="s">
        <v>965</v>
      </c>
      <c r="Y36" s="6" t="s">
        <v>477</v>
      </c>
      <c r="Z36" s="6" t="s">
        <v>477</v>
      </c>
      <c r="AA36" s="6" t="s">
        <v>488</v>
      </c>
      <c r="AB36" s="6" t="s">
        <v>488</v>
      </c>
      <c r="AC36" s="6" t="s">
        <v>488</v>
      </c>
      <c r="AD36" s="6" t="s">
        <v>488</v>
      </c>
      <c r="AE36" s="6" t="s">
        <v>488</v>
      </c>
      <c r="AF36" s="6" t="s">
        <v>488</v>
      </c>
      <c r="AG36" s="6" t="s">
        <v>484</v>
      </c>
      <c r="AH36" s="6" t="s">
        <v>484</v>
      </c>
      <c r="AI36" s="6" t="s">
        <v>484</v>
      </c>
      <c r="AJ36" s="6" t="s">
        <v>484</v>
      </c>
      <c r="AK36" s="6" t="s">
        <v>966</v>
      </c>
      <c r="AL36" s="6" t="s">
        <v>484</v>
      </c>
      <c r="AM36" s="6" t="s">
        <v>484</v>
      </c>
      <c r="AN36" s="6" t="s">
        <v>967</v>
      </c>
    </row>
    <row r="37" customFormat="false" ht="15" hidden="false" customHeight="false" outlineLevel="0" collapsed="false">
      <c r="A37" s="6" t="s">
        <v>968</v>
      </c>
      <c r="B37" s="6" t="s">
        <v>289</v>
      </c>
      <c r="C37" s="6" t="s">
        <v>471</v>
      </c>
      <c r="D37" s="6" t="s">
        <v>471</v>
      </c>
      <c r="E37" s="6" t="s">
        <v>472</v>
      </c>
      <c r="F37" s="6" t="s">
        <v>290</v>
      </c>
      <c r="G37" s="6" t="s">
        <v>969</v>
      </c>
      <c r="H37" s="6" t="s">
        <v>970</v>
      </c>
      <c r="I37" s="6" t="s">
        <v>971</v>
      </c>
      <c r="J37" s="6" t="s">
        <v>530</v>
      </c>
      <c r="K37" s="6" t="s">
        <v>129</v>
      </c>
      <c r="L37" s="6" t="s">
        <v>477</v>
      </c>
      <c r="M37" s="6" t="s">
        <v>478</v>
      </c>
      <c r="N37" s="6" t="s">
        <v>972</v>
      </c>
      <c r="O37" s="6" t="s">
        <v>532</v>
      </c>
      <c r="P37" s="6" t="s">
        <v>533</v>
      </c>
      <c r="Q37" s="6" t="s">
        <v>973</v>
      </c>
      <c r="R37" s="6" t="s">
        <v>974</v>
      </c>
      <c r="S37" s="6" t="s">
        <v>484</v>
      </c>
      <c r="T37" s="6" t="s">
        <v>975</v>
      </c>
      <c r="U37" s="6" t="s">
        <v>976</v>
      </c>
      <c r="V37" s="6" t="s">
        <v>486</v>
      </c>
      <c r="W37" s="6" t="s">
        <v>977</v>
      </c>
      <c r="X37" s="6" t="s">
        <v>598</v>
      </c>
      <c r="Y37" s="6" t="s">
        <v>978</v>
      </c>
      <c r="Z37" s="6" t="s">
        <v>477</v>
      </c>
      <c r="AA37" s="6" t="s">
        <v>488</v>
      </c>
      <c r="AB37" s="6" t="s">
        <v>488</v>
      </c>
      <c r="AC37" s="6" t="s">
        <v>488</v>
      </c>
      <c r="AD37" s="6" t="s">
        <v>488</v>
      </c>
      <c r="AE37" s="6" t="s">
        <v>488</v>
      </c>
      <c r="AF37" s="6" t="s">
        <v>488</v>
      </c>
      <c r="AG37" s="6" t="s">
        <v>484</v>
      </c>
      <c r="AH37" s="6" t="s">
        <v>979</v>
      </c>
      <c r="AI37" s="6" t="s">
        <v>484</v>
      </c>
      <c r="AJ37" s="6" t="s">
        <v>484</v>
      </c>
      <c r="AK37" s="6" t="s">
        <v>980</v>
      </c>
      <c r="AL37" s="6" t="s">
        <v>484</v>
      </c>
      <c r="AM37" s="6" t="s">
        <v>484</v>
      </c>
      <c r="AN37" s="6" t="s">
        <v>981</v>
      </c>
    </row>
    <row r="38" customFormat="false" ht="15" hidden="false" customHeight="false" outlineLevel="0" collapsed="false">
      <c r="A38" s="6" t="s">
        <v>982</v>
      </c>
      <c r="B38" s="6" t="s">
        <v>237</v>
      </c>
      <c r="C38" s="6" t="s">
        <v>471</v>
      </c>
      <c r="D38" s="6" t="s">
        <v>471</v>
      </c>
      <c r="E38" s="6" t="s">
        <v>472</v>
      </c>
      <c r="F38" s="6" t="s">
        <v>238</v>
      </c>
      <c r="G38" s="6" t="s">
        <v>983</v>
      </c>
      <c r="H38" s="6" t="s">
        <v>984</v>
      </c>
      <c r="I38" s="6" t="s">
        <v>985</v>
      </c>
      <c r="J38" s="6" t="s">
        <v>530</v>
      </c>
      <c r="K38" s="6" t="s">
        <v>129</v>
      </c>
      <c r="L38" s="6" t="s">
        <v>477</v>
      </c>
      <c r="M38" s="6" t="s">
        <v>478</v>
      </c>
      <c r="N38" s="6" t="s">
        <v>986</v>
      </c>
      <c r="O38" s="6" t="s">
        <v>480</v>
      </c>
      <c r="P38" s="6" t="s">
        <v>481</v>
      </c>
      <c r="Q38" s="6" t="s">
        <v>987</v>
      </c>
      <c r="R38" s="6" t="s">
        <v>497</v>
      </c>
      <c r="S38" s="6" t="s">
        <v>484</v>
      </c>
      <c r="T38" s="6" t="s">
        <v>988</v>
      </c>
      <c r="U38" s="6" t="s">
        <v>989</v>
      </c>
      <c r="V38" s="6" t="s">
        <v>486</v>
      </c>
      <c r="W38" s="6" t="s">
        <v>990</v>
      </c>
      <c r="X38" s="6" t="s">
        <v>991</v>
      </c>
      <c r="Y38" s="6" t="s">
        <v>992</v>
      </c>
      <c r="Z38" s="6" t="s">
        <v>477</v>
      </c>
      <c r="AA38" s="6" t="s">
        <v>488</v>
      </c>
      <c r="AB38" s="6" t="s">
        <v>488</v>
      </c>
      <c r="AC38" s="6" t="s">
        <v>488</v>
      </c>
      <c r="AD38" s="6" t="s">
        <v>488</v>
      </c>
      <c r="AE38" s="6" t="s">
        <v>488</v>
      </c>
      <c r="AF38" s="6" t="s">
        <v>488</v>
      </c>
      <c r="AG38" s="6" t="s">
        <v>587</v>
      </c>
      <c r="AH38" s="6" t="s">
        <v>993</v>
      </c>
      <c r="AI38" s="6" t="s">
        <v>484</v>
      </c>
      <c r="AJ38" s="6" t="s">
        <v>589</v>
      </c>
      <c r="AK38" s="6" t="s">
        <v>516</v>
      </c>
      <c r="AL38" s="6" t="s">
        <v>484</v>
      </c>
      <c r="AM38" s="6" t="s">
        <v>589</v>
      </c>
      <c r="AN38" s="6" t="s">
        <v>994</v>
      </c>
    </row>
    <row r="39" customFormat="false" ht="15" hidden="false" customHeight="false" outlineLevel="0" collapsed="false">
      <c r="A39" s="6" t="s">
        <v>995</v>
      </c>
      <c r="B39" s="6" t="s">
        <v>270</v>
      </c>
      <c r="C39" s="6" t="s">
        <v>471</v>
      </c>
      <c r="D39" s="6" t="s">
        <v>471</v>
      </c>
      <c r="E39" s="6" t="s">
        <v>472</v>
      </c>
      <c r="F39" s="6" t="s">
        <v>271</v>
      </c>
      <c r="G39" s="6" t="s">
        <v>996</v>
      </c>
      <c r="H39" s="6" t="s">
        <v>997</v>
      </c>
      <c r="I39" s="6" t="s">
        <v>998</v>
      </c>
      <c r="J39" s="6" t="s">
        <v>530</v>
      </c>
      <c r="K39" s="6" t="s">
        <v>129</v>
      </c>
      <c r="L39" s="6" t="s">
        <v>999</v>
      </c>
      <c r="M39" s="6" t="s">
        <v>478</v>
      </c>
      <c r="N39" s="6" t="s">
        <v>1000</v>
      </c>
      <c r="O39" s="6" t="s">
        <v>532</v>
      </c>
      <c r="P39" s="6" t="s">
        <v>481</v>
      </c>
      <c r="Q39" s="6" t="s">
        <v>1001</v>
      </c>
      <c r="R39" s="6" t="s">
        <v>497</v>
      </c>
      <c r="S39" s="6" t="s">
        <v>1002</v>
      </c>
      <c r="T39" s="6" t="s">
        <v>1003</v>
      </c>
      <c r="U39" s="6" t="s">
        <v>1004</v>
      </c>
      <c r="V39" s="6" t="s">
        <v>486</v>
      </c>
      <c r="W39" s="6" t="s">
        <v>625</v>
      </c>
      <c r="X39" s="6" t="s">
        <v>484</v>
      </c>
      <c r="Y39" s="6" t="s">
        <v>477</v>
      </c>
      <c r="Z39" s="6" t="s">
        <v>477</v>
      </c>
      <c r="AA39" s="6" t="s">
        <v>488</v>
      </c>
      <c r="AB39" s="6" t="s">
        <v>488</v>
      </c>
      <c r="AC39" s="6" t="s">
        <v>488</v>
      </c>
      <c r="AD39" s="6" t="s">
        <v>488</v>
      </c>
      <c r="AE39" s="6" t="s">
        <v>488</v>
      </c>
      <c r="AF39" s="6" t="s">
        <v>488</v>
      </c>
      <c r="AG39" s="6" t="s">
        <v>484</v>
      </c>
      <c r="AH39" s="6" t="s">
        <v>484</v>
      </c>
      <c r="AI39" s="6" t="s">
        <v>484</v>
      </c>
      <c r="AJ39" s="6" t="s">
        <v>484</v>
      </c>
      <c r="AK39" s="6" t="s">
        <v>1005</v>
      </c>
      <c r="AL39" s="6" t="s">
        <v>484</v>
      </c>
      <c r="AM39" s="6" t="s">
        <v>484</v>
      </c>
      <c r="AN39" s="6" t="s">
        <v>1006</v>
      </c>
    </row>
    <row r="40" customFormat="false" ht="15" hidden="false" customHeight="false" outlineLevel="0" collapsed="false">
      <c r="A40" s="6" t="s">
        <v>1007</v>
      </c>
      <c r="B40" s="6" t="s">
        <v>182</v>
      </c>
      <c r="C40" s="6" t="s">
        <v>471</v>
      </c>
      <c r="D40" s="6" t="s">
        <v>471</v>
      </c>
      <c r="E40" s="6" t="s">
        <v>472</v>
      </c>
      <c r="F40" s="6" t="s">
        <v>183</v>
      </c>
      <c r="G40" s="6" t="s">
        <v>1008</v>
      </c>
      <c r="H40" s="6" t="s">
        <v>1009</v>
      </c>
      <c r="I40" s="6" t="s">
        <v>1010</v>
      </c>
      <c r="J40" s="6" t="s">
        <v>530</v>
      </c>
      <c r="K40" s="6" t="s">
        <v>129</v>
      </c>
      <c r="L40" s="6" t="s">
        <v>477</v>
      </c>
      <c r="M40" s="6" t="s">
        <v>478</v>
      </c>
      <c r="N40" s="6" t="s">
        <v>1011</v>
      </c>
      <c r="O40" s="6" t="s">
        <v>480</v>
      </c>
      <c r="P40" s="6" t="s">
        <v>1012</v>
      </c>
      <c r="Q40" s="6" t="s">
        <v>477</v>
      </c>
      <c r="R40" s="6" t="s">
        <v>1013</v>
      </c>
      <c r="S40" s="6" t="s">
        <v>1014</v>
      </c>
      <c r="T40" s="6" t="s">
        <v>1013</v>
      </c>
      <c r="U40" s="6" t="s">
        <v>1015</v>
      </c>
      <c r="V40" s="6" t="s">
        <v>539</v>
      </c>
      <c r="W40" s="6" t="s">
        <v>1016</v>
      </c>
      <c r="X40" s="6" t="s">
        <v>1017</v>
      </c>
      <c r="Y40" s="6" t="s">
        <v>477</v>
      </c>
      <c r="Z40" s="6" t="s">
        <v>477</v>
      </c>
      <c r="AA40" s="6" t="s">
        <v>488</v>
      </c>
      <c r="AB40" s="6" t="s">
        <v>488</v>
      </c>
      <c r="AC40" s="6" t="s">
        <v>488</v>
      </c>
      <c r="AD40" s="6" t="s">
        <v>488</v>
      </c>
      <c r="AE40" s="6" t="s">
        <v>488</v>
      </c>
      <c r="AF40" s="6" t="s">
        <v>488</v>
      </c>
      <c r="AG40" s="6" t="s">
        <v>484</v>
      </c>
      <c r="AH40" s="6" t="s">
        <v>854</v>
      </c>
      <c r="AI40" s="6" t="s">
        <v>484</v>
      </c>
      <c r="AJ40" s="6" t="s">
        <v>484</v>
      </c>
      <c r="AK40" s="6" t="s">
        <v>1018</v>
      </c>
      <c r="AL40" s="6" t="s">
        <v>484</v>
      </c>
      <c r="AM40" s="6" t="s">
        <v>484</v>
      </c>
      <c r="AN40" s="6" t="s">
        <v>1019</v>
      </c>
    </row>
    <row r="41" customFormat="false" ht="15" hidden="false" customHeight="false" outlineLevel="0" collapsed="false">
      <c r="A41" s="6" t="s">
        <v>1020</v>
      </c>
      <c r="B41" s="6" t="s">
        <v>190</v>
      </c>
      <c r="C41" s="6" t="s">
        <v>471</v>
      </c>
      <c r="D41" s="6" t="s">
        <v>471</v>
      </c>
      <c r="E41" s="6" t="s">
        <v>472</v>
      </c>
      <c r="F41" s="6" t="s">
        <v>191</v>
      </c>
      <c r="G41" s="6" t="s">
        <v>1021</v>
      </c>
      <c r="H41" s="6" t="s">
        <v>1022</v>
      </c>
      <c r="I41" s="6" t="s">
        <v>1023</v>
      </c>
      <c r="J41" s="6" t="s">
        <v>530</v>
      </c>
      <c r="K41" s="6" t="s">
        <v>129</v>
      </c>
      <c r="L41" s="6" t="s">
        <v>477</v>
      </c>
      <c r="M41" s="6" t="s">
        <v>478</v>
      </c>
      <c r="N41" s="6" t="s">
        <v>1024</v>
      </c>
      <c r="O41" s="6" t="s">
        <v>480</v>
      </c>
      <c r="P41" s="6" t="s">
        <v>533</v>
      </c>
      <c r="Q41" s="6" t="s">
        <v>1025</v>
      </c>
      <c r="R41" s="6" t="s">
        <v>582</v>
      </c>
      <c r="S41" s="6" t="s">
        <v>1026</v>
      </c>
      <c r="T41" s="6" t="s">
        <v>1027</v>
      </c>
      <c r="U41" s="6" t="s">
        <v>1028</v>
      </c>
      <c r="V41" s="6" t="s">
        <v>539</v>
      </c>
      <c r="W41" s="6" t="s">
        <v>1029</v>
      </c>
      <c r="X41" s="6" t="s">
        <v>1030</v>
      </c>
      <c r="Y41" s="6" t="s">
        <v>477</v>
      </c>
      <c r="Z41" s="6" t="s">
        <v>477</v>
      </c>
      <c r="AA41" s="6" t="s">
        <v>488</v>
      </c>
      <c r="AB41" s="6" t="s">
        <v>488</v>
      </c>
      <c r="AC41" s="6" t="s">
        <v>488</v>
      </c>
      <c r="AD41" s="6" t="s">
        <v>488</v>
      </c>
      <c r="AE41" s="6" t="s">
        <v>488</v>
      </c>
      <c r="AF41" s="6" t="s">
        <v>488</v>
      </c>
      <c r="AG41" s="6" t="s">
        <v>587</v>
      </c>
      <c r="AH41" s="6" t="s">
        <v>1031</v>
      </c>
      <c r="AI41" s="6" t="s">
        <v>589</v>
      </c>
      <c r="AJ41" s="6" t="s">
        <v>484</v>
      </c>
      <c r="AK41" s="6" t="s">
        <v>484</v>
      </c>
      <c r="AL41" s="6" t="s">
        <v>484</v>
      </c>
      <c r="AM41" s="6" t="s">
        <v>484</v>
      </c>
      <c r="AN41" s="6" t="s">
        <v>1032</v>
      </c>
    </row>
    <row r="42" customFormat="false" ht="15" hidden="false" customHeight="false" outlineLevel="0" collapsed="false">
      <c r="A42" s="6" t="s">
        <v>1033</v>
      </c>
      <c r="B42" s="6" t="s">
        <v>203</v>
      </c>
      <c r="C42" s="6" t="s">
        <v>471</v>
      </c>
      <c r="D42" s="6" t="s">
        <v>471</v>
      </c>
      <c r="E42" s="6" t="s">
        <v>472</v>
      </c>
      <c r="F42" s="6" t="s">
        <v>204</v>
      </c>
      <c r="G42" s="6" t="s">
        <v>1034</v>
      </c>
      <c r="H42" s="6" t="s">
        <v>1035</v>
      </c>
      <c r="I42" s="6" t="s">
        <v>1036</v>
      </c>
      <c r="J42" s="6" t="s">
        <v>530</v>
      </c>
      <c r="K42" s="6" t="s">
        <v>129</v>
      </c>
      <c r="L42" s="6" t="s">
        <v>477</v>
      </c>
      <c r="M42" s="6" t="s">
        <v>478</v>
      </c>
      <c r="N42" s="6" t="s">
        <v>1037</v>
      </c>
      <c r="O42" s="6" t="s">
        <v>480</v>
      </c>
      <c r="P42" s="6" t="s">
        <v>533</v>
      </c>
      <c r="Q42" s="6" t="s">
        <v>772</v>
      </c>
      <c r="R42" s="6" t="s">
        <v>634</v>
      </c>
      <c r="S42" s="6" t="s">
        <v>1038</v>
      </c>
      <c r="T42" s="6" t="s">
        <v>1039</v>
      </c>
      <c r="U42" s="6" t="s">
        <v>1040</v>
      </c>
      <c r="V42" s="6" t="s">
        <v>539</v>
      </c>
      <c r="W42" s="6" t="s">
        <v>1041</v>
      </c>
      <c r="X42" s="6" t="s">
        <v>1042</v>
      </c>
      <c r="Y42" s="6" t="s">
        <v>477</v>
      </c>
      <c r="Z42" s="6" t="s">
        <v>477</v>
      </c>
      <c r="AA42" s="6" t="s">
        <v>488</v>
      </c>
      <c r="AB42" s="6" t="s">
        <v>488</v>
      </c>
      <c r="AC42" s="6" t="s">
        <v>488</v>
      </c>
      <c r="AD42" s="6" t="s">
        <v>488</v>
      </c>
      <c r="AE42" s="6" t="s">
        <v>488</v>
      </c>
      <c r="AF42" s="6" t="s">
        <v>488</v>
      </c>
      <c r="AG42" s="6" t="s">
        <v>484</v>
      </c>
      <c r="AH42" s="6" t="s">
        <v>854</v>
      </c>
      <c r="AI42" s="6" t="s">
        <v>484</v>
      </c>
      <c r="AJ42" s="6" t="s">
        <v>484</v>
      </c>
      <c r="AK42" s="6" t="s">
        <v>1043</v>
      </c>
      <c r="AL42" s="6" t="s">
        <v>484</v>
      </c>
      <c r="AM42" s="6" t="s">
        <v>484</v>
      </c>
      <c r="AN42" s="6" t="s">
        <v>1044</v>
      </c>
    </row>
    <row r="43" customFormat="false" ht="15" hidden="false" customHeight="false" outlineLevel="0" collapsed="false">
      <c r="A43" s="6" t="s">
        <v>1045</v>
      </c>
      <c r="B43" s="6" t="s">
        <v>222</v>
      </c>
      <c r="C43" s="6" t="s">
        <v>471</v>
      </c>
      <c r="D43" s="6" t="s">
        <v>471</v>
      </c>
      <c r="E43" s="6" t="s">
        <v>642</v>
      </c>
      <c r="F43" s="6" t="s">
        <v>223</v>
      </c>
      <c r="G43" s="6" t="s">
        <v>1046</v>
      </c>
      <c r="H43" s="6" t="s">
        <v>1047</v>
      </c>
      <c r="I43" s="6" t="s">
        <v>1048</v>
      </c>
      <c r="J43" s="6" t="s">
        <v>530</v>
      </c>
      <c r="K43" s="6" t="s">
        <v>129</v>
      </c>
      <c r="L43" s="6" t="s">
        <v>477</v>
      </c>
      <c r="M43" s="6" t="s">
        <v>478</v>
      </c>
      <c r="N43" s="6" t="s">
        <v>1049</v>
      </c>
      <c r="O43" s="6" t="s">
        <v>480</v>
      </c>
      <c r="P43" s="6" t="s">
        <v>481</v>
      </c>
      <c r="Q43" s="6" t="s">
        <v>760</v>
      </c>
      <c r="R43" s="6" t="s">
        <v>1050</v>
      </c>
      <c r="S43" s="6" t="s">
        <v>484</v>
      </c>
      <c r="T43" s="6" t="s">
        <v>1051</v>
      </c>
      <c r="U43" s="6" t="s">
        <v>1052</v>
      </c>
      <c r="V43" s="6" t="s">
        <v>568</v>
      </c>
      <c r="W43" s="6" t="s">
        <v>1053</v>
      </c>
      <c r="X43" s="6" t="s">
        <v>1054</v>
      </c>
      <c r="Y43" s="6" t="s">
        <v>477</v>
      </c>
      <c r="Z43" s="6" t="s">
        <v>477</v>
      </c>
      <c r="AA43" s="6" t="s">
        <v>488</v>
      </c>
      <c r="AB43" s="6" t="s">
        <v>488</v>
      </c>
      <c r="AC43" s="6" t="s">
        <v>488</v>
      </c>
      <c r="AD43" s="6" t="s">
        <v>488</v>
      </c>
      <c r="AE43" s="6" t="s">
        <v>488</v>
      </c>
      <c r="AF43" s="6" t="s">
        <v>488</v>
      </c>
      <c r="AG43" s="6" t="s">
        <v>484</v>
      </c>
      <c r="AH43" s="6" t="s">
        <v>1055</v>
      </c>
      <c r="AI43" s="6" t="s">
        <v>573</v>
      </c>
      <c r="AJ43" s="6" t="s">
        <v>484</v>
      </c>
      <c r="AK43" s="6" t="s">
        <v>1056</v>
      </c>
      <c r="AL43" s="6" t="s">
        <v>589</v>
      </c>
      <c r="AM43" s="6" t="s">
        <v>589</v>
      </c>
      <c r="AN43" s="6" t="s">
        <v>1057</v>
      </c>
    </row>
    <row r="44" customFormat="false" ht="15" hidden="false" customHeight="false" outlineLevel="0" collapsed="false">
      <c r="A44" s="6" t="s">
        <v>1058</v>
      </c>
      <c r="B44" s="6" t="s">
        <v>374</v>
      </c>
      <c r="C44" s="6" t="s">
        <v>471</v>
      </c>
      <c r="D44" s="6" t="s">
        <v>471</v>
      </c>
      <c r="E44" s="6" t="s">
        <v>472</v>
      </c>
      <c r="F44" s="6" t="s">
        <v>381</v>
      </c>
      <c r="G44" s="6" t="s">
        <v>1059</v>
      </c>
      <c r="H44" s="6" t="s">
        <v>1060</v>
      </c>
      <c r="I44" s="6" t="s">
        <v>1061</v>
      </c>
      <c r="J44" s="6" t="s">
        <v>530</v>
      </c>
      <c r="K44" s="6" t="s">
        <v>129</v>
      </c>
      <c r="L44" s="6" t="s">
        <v>477</v>
      </c>
      <c r="M44" s="6" t="s">
        <v>478</v>
      </c>
      <c r="N44" s="6" t="s">
        <v>1062</v>
      </c>
      <c r="O44" s="6" t="s">
        <v>480</v>
      </c>
      <c r="P44" s="6" t="s">
        <v>533</v>
      </c>
      <c r="Q44" s="6" t="s">
        <v>1063</v>
      </c>
      <c r="R44" s="6" t="s">
        <v>1064</v>
      </c>
      <c r="S44" s="6" t="s">
        <v>484</v>
      </c>
      <c r="T44" s="6" t="s">
        <v>1065</v>
      </c>
      <c r="U44" s="6" t="s">
        <v>1066</v>
      </c>
      <c r="V44" s="6" t="s">
        <v>486</v>
      </c>
      <c r="W44" s="6" t="s">
        <v>1067</v>
      </c>
      <c r="X44" s="6" t="s">
        <v>1068</v>
      </c>
      <c r="Y44" s="6" t="s">
        <v>477</v>
      </c>
      <c r="Z44" s="6" t="s">
        <v>477</v>
      </c>
      <c r="AA44" s="6" t="s">
        <v>488</v>
      </c>
      <c r="AB44" s="6" t="s">
        <v>488</v>
      </c>
      <c r="AC44" s="6" t="s">
        <v>488</v>
      </c>
      <c r="AD44" s="6" t="s">
        <v>488</v>
      </c>
      <c r="AE44" s="6" t="s">
        <v>488</v>
      </c>
      <c r="AF44" s="6" t="s">
        <v>488</v>
      </c>
      <c r="AG44" s="6" t="s">
        <v>484</v>
      </c>
      <c r="AH44" s="6" t="s">
        <v>854</v>
      </c>
      <c r="AI44" s="6" t="s">
        <v>484</v>
      </c>
      <c r="AJ44" s="6" t="s">
        <v>484</v>
      </c>
      <c r="AK44" s="6" t="s">
        <v>484</v>
      </c>
      <c r="AL44" s="6" t="s">
        <v>484</v>
      </c>
      <c r="AM44" s="6" t="s">
        <v>484</v>
      </c>
      <c r="AN44" s="6" t="s">
        <v>1069</v>
      </c>
    </row>
    <row r="45" customFormat="false" ht="15" hidden="false" customHeight="false" outlineLevel="0" collapsed="false">
      <c r="A45" s="6" t="s">
        <v>1070</v>
      </c>
      <c r="B45" s="6" t="s">
        <v>256</v>
      </c>
      <c r="C45" s="6" t="s">
        <v>471</v>
      </c>
      <c r="D45" s="6" t="s">
        <v>471</v>
      </c>
      <c r="E45" s="6" t="s">
        <v>472</v>
      </c>
      <c r="F45" s="6" t="s">
        <v>257</v>
      </c>
      <c r="G45" s="6" t="s">
        <v>1071</v>
      </c>
      <c r="H45" s="6" t="s">
        <v>1072</v>
      </c>
      <c r="I45" s="6" t="s">
        <v>1073</v>
      </c>
      <c r="J45" s="6" t="s">
        <v>530</v>
      </c>
      <c r="K45" s="6" t="s">
        <v>129</v>
      </c>
      <c r="L45" s="6" t="s">
        <v>477</v>
      </c>
      <c r="M45" s="6" t="s">
        <v>478</v>
      </c>
      <c r="N45" s="6" t="s">
        <v>1074</v>
      </c>
      <c r="O45" s="6" t="s">
        <v>532</v>
      </c>
      <c r="P45" s="6" t="s">
        <v>1075</v>
      </c>
      <c r="Q45" s="6" t="s">
        <v>772</v>
      </c>
      <c r="R45" s="6" t="s">
        <v>516</v>
      </c>
      <c r="S45" s="6" t="s">
        <v>484</v>
      </c>
      <c r="T45" s="6" t="s">
        <v>1076</v>
      </c>
      <c r="U45" s="6" t="s">
        <v>1077</v>
      </c>
      <c r="V45" s="6" t="s">
        <v>486</v>
      </c>
      <c r="W45" s="6" t="s">
        <v>1078</v>
      </c>
      <c r="X45" s="6" t="s">
        <v>1079</v>
      </c>
      <c r="Y45" s="6" t="s">
        <v>477</v>
      </c>
      <c r="Z45" s="6" t="s">
        <v>477</v>
      </c>
      <c r="AA45" s="6" t="s">
        <v>488</v>
      </c>
      <c r="AB45" s="6" t="s">
        <v>488</v>
      </c>
      <c r="AC45" s="6" t="s">
        <v>488</v>
      </c>
      <c r="AD45" s="6" t="s">
        <v>488</v>
      </c>
      <c r="AE45" s="6" t="s">
        <v>488</v>
      </c>
      <c r="AF45" s="6" t="s">
        <v>488</v>
      </c>
      <c r="AG45" s="6" t="s">
        <v>484</v>
      </c>
      <c r="AH45" s="6" t="s">
        <v>854</v>
      </c>
      <c r="AI45" s="6" t="s">
        <v>484</v>
      </c>
      <c r="AJ45" s="6" t="s">
        <v>484</v>
      </c>
      <c r="AK45" s="6" t="s">
        <v>1080</v>
      </c>
      <c r="AL45" s="6" t="s">
        <v>484</v>
      </c>
      <c r="AM45" s="6" t="s">
        <v>484</v>
      </c>
      <c r="AN45" s="6" t="s">
        <v>1081</v>
      </c>
    </row>
    <row r="46" customFormat="false" ht="15" hidden="false" customHeight="false" outlineLevel="0" collapsed="false">
      <c r="A46" s="6" t="s">
        <v>1082</v>
      </c>
      <c r="B46" s="6" t="s">
        <v>374</v>
      </c>
      <c r="C46" s="6" t="s">
        <v>471</v>
      </c>
      <c r="D46" s="6" t="s">
        <v>471</v>
      </c>
      <c r="E46" s="6" t="s">
        <v>1083</v>
      </c>
      <c r="F46" s="6" t="s">
        <v>382</v>
      </c>
      <c r="G46" s="6" t="s">
        <v>1084</v>
      </c>
      <c r="H46" s="6" t="s">
        <v>1085</v>
      </c>
      <c r="I46" s="6" t="s">
        <v>1086</v>
      </c>
      <c r="J46" s="6" t="s">
        <v>530</v>
      </c>
      <c r="K46" s="6" t="s">
        <v>129</v>
      </c>
      <c r="L46" s="6" t="s">
        <v>477</v>
      </c>
      <c r="M46" s="6" t="s">
        <v>478</v>
      </c>
      <c r="N46" s="6" t="s">
        <v>1087</v>
      </c>
      <c r="O46" s="6" t="s">
        <v>480</v>
      </c>
      <c r="P46" s="6" t="s">
        <v>481</v>
      </c>
      <c r="Q46" s="6" t="s">
        <v>1088</v>
      </c>
      <c r="R46" s="6" t="s">
        <v>1089</v>
      </c>
      <c r="S46" s="6" t="s">
        <v>1090</v>
      </c>
      <c r="T46" s="6" t="s">
        <v>1091</v>
      </c>
      <c r="U46" s="6" t="s">
        <v>1092</v>
      </c>
      <c r="V46" s="6" t="s">
        <v>539</v>
      </c>
      <c r="W46" s="6" t="s">
        <v>1093</v>
      </c>
      <c r="X46" s="6" t="s">
        <v>1094</v>
      </c>
      <c r="Y46" s="6" t="s">
        <v>477</v>
      </c>
      <c r="Z46" s="6" t="s">
        <v>477</v>
      </c>
      <c r="AA46" s="6" t="s">
        <v>488</v>
      </c>
      <c r="AB46" s="6" t="s">
        <v>488</v>
      </c>
      <c r="AC46" s="6" t="s">
        <v>488</v>
      </c>
      <c r="AD46" s="6" t="s">
        <v>488</v>
      </c>
      <c r="AE46" s="6" t="s">
        <v>488</v>
      </c>
      <c r="AF46" s="6" t="s">
        <v>488</v>
      </c>
      <c r="AG46" s="6" t="s">
        <v>587</v>
      </c>
      <c r="AH46" s="6" t="s">
        <v>1095</v>
      </c>
      <c r="AI46" s="6" t="s">
        <v>573</v>
      </c>
      <c r="AJ46" s="6" t="s">
        <v>484</v>
      </c>
      <c r="AK46" s="6" t="s">
        <v>1096</v>
      </c>
      <c r="AL46" s="6" t="s">
        <v>573</v>
      </c>
      <c r="AM46" s="6" t="s">
        <v>484</v>
      </c>
      <c r="AN46" s="6" t="s">
        <v>1097</v>
      </c>
    </row>
    <row r="47" customFormat="false" ht="15" hidden="false" customHeight="false" outlineLevel="0" collapsed="false">
      <c r="A47" s="6" t="s">
        <v>1098</v>
      </c>
      <c r="B47" s="6" t="s">
        <v>187</v>
      </c>
      <c r="C47" s="6" t="s">
        <v>471</v>
      </c>
      <c r="D47" s="6" t="s">
        <v>471</v>
      </c>
      <c r="E47" s="6" t="s">
        <v>472</v>
      </c>
      <c r="F47" s="6" t="s">
        <v>188</v>
      </c>
      <c r="G47" s="6" t="s">
        <v>1099</v>
      </c>
      <c r="H47" s="6" t="s">
        <v>1100</v>
      </c>
      <c r="I47" s="6" t="s">
        <v>1101</v>
      </c>
      <c r="J47" s="6" t="s">
        <v>530</v>
      </c>
      <c r="K47" s="6" t="s">
        <v>129</v>
      </c>
      <c r="L47" s="6" t="s">
        <v>477</v>
      </c>
      <c r="M47" s="6" t="s">
        <v>478</v>
      </c>
      <c r="N47" s="6" t="s">
        <v>1102</v>
      </c>
      <c r="O47" s="6" t="s">
        <v>480</v>
      </c>
      <c r="P47" s="6" t="s">
        <v>481</v>
      </c>
      <c r="Q47" s="6" t="s">
        <v>949</v>
      </c>
      <c r="R47" s="6" t="s">
        <v>1103</v>
      </c>
      <c r="S47" s="6" t="s">
        <v>484</v>
      </c>
      <c r="T47" s="6" t="s">
        <v>1104</v>
      </c>
      <c r="U47" s="6" t="s">
        <v>1105</v>
      </c>
      <c r="V47" s="6" t="s">
        <v>501</v>
      </c>
      <c r="W47" s="6" t="s">
        <v>1106</v>
      </c>
      <c r="X47" s="6" t="s">
        <v>1107</v>
      </c>
      <c r="Y47" s="6" t="s">
        <v>487</v>
      </c>
      <c r="Z47" s="6" t="s">
        <v>477</v>
      </c>
      <c r="AA47" s="6" t="s">
        <v>488</v>
      </c>
      <c r="AB47" s="6" t="s">
        <v>488</v>
      </c>
      <c r="AC47" s="6" t="s">
        <v>488</v>
      </c>
      <c r="AD47" s="6" t="s">
        <v>488</v>
      </c>
      <c r="AE47" s="6" t="s">
        <v>488</v>
      </c>
      <c r="AF47" s="6" t="s">
        <v>488</v>
      </c>
      <c r="AG47" s="6" t="s">
        <v>484</v>
      </c>
      <c r="AH47" s="6" t="s">
        <v>854</v>
      </c>
      <c r="AI47" s="6" t="s">
        <v>484</v>
      </c>
      <c r="AJ47" s="6" t="s">
        <v>484</v>
      </c>
      <c r="AK47" s="6" t="s">
        <v>484</v>
      </c>
      <c r="AL47" s="6" t="s">
        <v>484</v>
      </c>
      <c r="AM47" s="6" t="s">
        <v>484</v>
      </c>
      <c r="AN47" s="6" t="s">
        <v>1108</v>
      </c>
    </row>
    <row r="48" customFormat="false" ht="15" hidden="false" customHeight="false" outlineLevel="0" collapsed="false">
      <c r="A48" s="6" t="s">
        <v>1109</v>
      </c>
      <c r="B48" s="6" t="s">
        <v>222</v>
      </c>
      <c r="C48" s="6" t="s">
        <v>471</v>
      </c>
      <c r="D48" s="6" t="s">
        <v>471</v>
      </c>
      <c r="E48" s="6" t="s">
        <v>642</v>
      </c>
      <c r="F48" s="6" t="s">
        <v>223</v>
      </c>
      <c r="G48" s="6" t="s">
        <v>1110</v>
      </c>
      <c r="H48" s="6" t="s">
        <v>1111</v>
      </c>
      <c r="I48" s="6" t="s">
        <v>1112</v>
      </c>
      <c r="J48" s="6" t="s">
        <v>530</v>
      </c>
      <c r="K48" s="6" t="s">
        <v>129</v>
      </c>
      <c r="L48" s="6" t="s">
        <v>477</v>
      </c>
      <c r="M48" s="6" t="s">
        <v>478</v>
      </c>
      <c r="N48" s="6" t="s">
        <v>1113</v>
      </c>
      <c r="O48" s="6" t="s">
        <v>532</v>
      </c>
      <c r="P48" s="6" t="s">
        <v>1114</v>
      </c>
      <c r="Q48" s="6" t="s">
        <v>1115</v>
      </c>
      <c r="R48" s="6" t="s">
        <v>1116</v>
      </c>
      <c r="S48" s="6" t="s">
        <v>1090</v>
      </c>
      <c r="T48" s="6" t="s">
        <v>1117</v>
      </c>
      <c r="U48" s="6" t="s">
        <v>1118</v>
      </c>
      <c r="V48" s="6" t="s">
        <v>539</v>
      </c>
      <c r="W48" s="6" t="s">
        <v>1119</v>
      </c>
      <c r="X48" s="6" t="s">
        <v>1120</v>
      </c>
      <c r="Y48" s="6" t="s">
        <v>477</v>
      </c>
      <c r="Z48" s="6" t="s">
        <v>477</v>
      </c>
      <c r="AA48" s="6" t="s">
        <v>488</v>
      </c>
      <c r="AB48" s="6" t="s">
        <v>488</v>
      </c>
      <c r="AC48" s="6" t="s">
        <v>488</v>
      </c>
      <c r="AD48" s="6" t="s">
        <v>488</v>
      </c>
      <c r="AE48" s="6" t="s">
        <v>488</v>
      </c>
      <c r="AF48" s="6" t="s">
        <v>488</v>
      </c>
      <c r="AG48" s="6" t="s">
        <v>587</v>
      </c>
      <c r="AH48" s="6" t="s">
        <v>1121</v>
      </c>
      <c r="AI48" s="6" t="s">
        <v>589</v>
      </c>
      <c r="AJ48" s="6" t="s">
        <v>573</v>
      </c>
      <c r="AK48" s="6" t="s">
        <v>484</v>
      </c>
      <c r="AL48" s="6" t="s">
        <v>484</v>
      </c>
      <c r="AM48" s="6" t="s">
        <v>484</v>
      </c>
      <c r="AN48" s="6" t="s">
        <v>1122</v>
      </c>
    </row>
    <row r="49" customFormat="false" ht="15" hidden="false" customHeight="false" outlineLevel="0" collapsed="false">
      <c r="A49" s="6" t="s">
        <v>1123</v>
      </c>
      <c r="B49" s="6" t="s">
        <v>272</v>
      </c>
      <c r="C49" s="6" t="s">
        <v>471</v>
      </c>
      <c r="D49" s="6" t="s">
        <v>471</v>
      </c>
      <c r="E49" s="6" t="s">
        <v>472</v>
      </c>
      <c r="F49" s="6" t="s">
        <v>273</v>
      </c>
      <c r="G49" s="6" t="s">
        <v>1124</v>
      </c>
      <c r="H49" s="6" t="s">
        <v>1125</v>
      </c>
      <c r="I49" s="6" t="s">
        <v>1126</v>
      </c>
      <c r="J49" s="6" t="s">
        <v>530</v>
      </c>
      <c r="K49" s="6" t="s">
        <v>129</v>
      </c>
      <c r="L49" s="6" t="s">
        <v>1127</v>
      </c>
      <c r="M49" s="6" t="s">
        <v>478</v>
      </c>
      <c r="N49" s="6" t="s">
        <v>1128</v>
      </c>
      <c r="O49" s="6" t="s">
        <v>480</v>
      </c>
      <c r="P49" s="6" t="s">
        <v>1129</v>
      </c>
      <c r="Q49" s="6" t="s">
        <v>606</v>
      </c>
      <c r="R49" s="6" t="s">
        <v>876</v>
      </c>
      <c r="S49" s="6" t="s">
        <v>1130</v>
      </c>
      <c r="T49" s="6" t="s">
        <v>1131</v>
      </c>
      <c r="U49" s="6" t="s">
        <v>1132</v>
      </c>
      <c r="V49" s="6" t="s">
        <v>539</v>
      </c>
      <c r="W49" s="6" t="s">
        <v>1133</v>
      </c>
      <c r="X49" s="6" t="s">
        <v>1134</v>
      </c>
      <c r="Y49" s="6" t="s">
        <v>477</v>
      </c>
      <c r="Z49" s="6" t="s">
        <v>477</v>
      </c>
      <c r="AA49" s="6" t="s">
        <v>488</v>
      </c>
      <c r="AB49" s="6" t="s">
        <v>488</v>
      </c>
      <c r="AC49" s="6" t="s">
        <v>488</v>
      </c>
      <c r="AD49" s="6" t="s">
        <v>488</v>
      </c>
      <c r="AE49" s="6" t="s">
        <v>488</v>
      </c>
      <c r="AF49" s="6" t="s">
        <v>488</v>
      </c>
      <c r="AG49" s="6" t="s">
        <v>484</v>
      </c>
      <c r="AH49" s="6" t="s">
        <v>1135</v>
      </c>
      <c r="AI49" s="6" t="s">
        <v>484</v>
      </c>
      <c r="AJ49" s="6" t="s">
        <v>484</v>
      </c>
      <c r="AK49" s="6" t="s">
        <v>1136</v>
      </c>
      <c r="AL49" s="6" t="s">
        <v>484</v>
      </c>
      <c r="AM49" s="6" t="s">
        <v>484</v>
      </c>
      <c r="AN49" s="6" t="s">
        <v>1137</v>
      </c>
    </row>
    <row r="50" customFormat="false" ht="15" hidden="false" customHeight="false" outlineLevel="0" collapsed="false">
      <c r="A50" s="6" t="s">
        <v>1138</v>
      </c>
      <c r="B50" s="6" t="s">
        <v>126</v>
      </c>
      <c r="C50" s="6" t="s">
        <v>471</v>
      </c>
      <c r="D50" s="6" t="s">
        <v>471</v>
      </c>
      <c r="E50" s="6" t="s">
        <v>472</v>
      </c>
      <c r="F50" s="6" t="s">
        <v>127</v>
      </c>
      <c r="G50" s="6" t="s">
        <v>1139</v>
      </c>
      <c r="H50" s="6" t="s">
        <v>1140</v>
      </c>
      <c r="I50" s="6" t="s">
        <v>1141</v>
      </c>
      <c r="J50" s="6" t="s">
        <v>476</v>
      </c>
      <c r="K50" s="6" t="s">
        <v>129</v>
      </c>
      <c r="L50" s="6" t="s">
        <v>477</v>
      </c>
      <c r="M50" s="6" t="s">
        <v>478</v>
      </c>
      <c r="N50" s="6" t="s">
        <v>1142</v>
      </c>
      <c r="O50" s="6" t="s">
        <v>480</v>
      </c>
      <c r="P50" s="6" t="s">
        <v>1143</v>
      </c>
      <c r="Q50" s="6" t="s">
        <v>772</v>
      </c>
      <c r="R50" s="6" t="s">
        <v>1144</v>
      </c>
      <c r="S50" s="6" t="s">
        <v>484</v>
      </c>
      <c r="T50" s="6" t="s">
        <v>1145</v>
      </c>
      <c r="U50" s="6" t="s">
        <v>1146</v>
      </c>
      <c r="V50" s="6" t="s">
        <v>486</v>
      </c>
      <c r="W50" s="6" t="s">
        <v>1147</v>
      </c>
      <c r="X50" s="6" t="s">
        <v>1079</v>
      </c>
      <c r="Y50" s="6" t="s">
        <v>1148</v>
      </c>
      <c r="Z50" s="6" t="s">
        <v>477</v>
      </c>
      <c r="AA50" s="6" t="s">
        <v>488</v>
      </c>
      <c r="AB50" s="6" t="s">
        <v>488</v>
      </c>
      <c r="AC50" s="6" t="s">
        <v>488</v>
      </c>
      <c r="AD50" s="6" t="s">
        <v>488</v>
      </c>
      <c r="AE50" s="6" t="s">
        <v>488</v>
      </c>
      <c r="AF50" s="6" t="s">
        <v>488</v>
      </c>
      <c r="AG50" s="6" t="s">
        <v>484</v>
      </c>
      <c r="AH50" s="6" t="s">
        <v>854</v>
      </c>
      <c r="AI50" s="6" t="s">
        <v>484</v>
      </c>
      <c r="AJ50" s="6" t="s">
        <v>484</v>
      </c>
      <c r="AK50" s="6" t="s">
        <v>484</v>
      </c>
      <c r="AL50" s="6" t="s">
        <v>484</v>
      </c>
      <c r="AM50" s="6" t="s">
        <v>589</v>
      </c>
      <c r="AN50" s="6" t="s">
        <v>1149</v>
      </c>
    </row>
    <row r="51" customFormat="false" ht="15" hidden="false" customHeight="false" outlineLevel="0" collapsed="false">
      <c r="A51" s="6" t="s">
        <v>1150</v>
      </c>
      <c r="B51" s="6" t="s">
        <v>126</v>
      </c>
      <c r="C51" s="6" t="s">
        <v>471</v>
      </c>
      <c r="D51" s="6" t="s">
        <v>471</v>
      </c>
      <c r="E51" s="6" t="s">
        <v>472</v>
      </c>
      <c r="F51" s="6" t="s">
        <v>127</v>
      </c>
      <c r="G51" s="6" t="s">
        <v>1151</v>
      </c>
      <c r="H51" s="6" t="s">
        <v>1152</v>
      </c>
      <c r="I51" s="6" t="s">
        <v>1153</v>
      </c>
      <c r="J51" s="6" t="s">
        <v>476</v>
      </c>
      <c r="K51" s="6" t="s">
        <v>129</v>
      </c>
      <c r="L51" s="6" t="s">
        <v>477</v>
      </c>
      <c r="M51" s="6" t="s">
        <v>478</v>
      </c>
      <c r="N51" s="6" t="s">
        <v>1154</v>
      </c>
      <c r="O51" s="6" t="s">
        <v>480</v>
      </c>
      <c r="P51" s="6" t="s">
        <v>533</v>
      </c>
      <c r="Q51" s="6" t="s">
        <v>1155</v>
      </c>
      <c r="R51" s="6" t="s">
        <v>1156</v>
      </c>
      <c r="S51" s="6" t="s">
        <v>1157</v>
      </c>
      <c r="T51" s="6" t="s">
        <v>1158</v>
      </c>
      <c r="U51" s="6" t="s">
        <v>1040</v>
      </c>
      <c r="V51" s="6" t="s">
        <v>501</v>
      </c>
      <c r="W51" s="6" t="s">
        <v>1159</v>
      </c>
      <c r="X51" s="6" t="s">
        <v>1160</v>
      </c>
      <c r="Y51" s="6" t="s">
        <v>1148</v>
      </c>
      <c r="Z51" s="6" t="s">
        <v>477</v>
      </c>
      <c r="AA51" s="6" t="s">
        <v>488</v>
      </c>
      <c r="AB51" s="6" t="s">
        <v>488</v>
      </c>
      <c r="AC51" s="6" t="s">
        <v>488</v>
      </c>
      <c r="AD51" s="6" t="s">
        <v>488</v>
      </c>
      <c r="AE51" s="6" t="s">
        <v>488</v>
      </c>
      <c r="AF51" s="6" t="s">
        <v>488</v>
      </c>
      <c r="AG51" s="6" t="s">
        <v>484</v>
      </c>
      <c r="AH51" s="6" t="s">
        <v>1161</v>
      </c>
      <c r="AI51" s="6" t="s">
        <v>573</v>
      </c>
      <c r="AJ51" s="6" t="s">
        <v>484</v>
      </c>
      <c r="AK51" s="6" t="s">
        <v>484</v>
      </c>
      <c r="AL51" s="6" t="s">
        <v>484</v>
      </c>
      <c r="AM51" s="6" t="s">
        <v>484</v>
      </c>
      <c r="AN51" s="6" t="s">
        <v>1162</v>
      </c>
    </row>
    <row r="52" customFormat="false" ht="15" hidden="false" customHeight="false" outlineLevel="0" collapsed="false">
      <c r="A52" s="6" t="s">
        <v>1163</v>
      </c>
      <c r="B52" s="6" t="s">
        <v>222</v>
      </c>
      <c r="C52" s="6" t="s">
        <v>471</v>
      </c>
      <c r="D52" s="6" t="s">
        <v>471</v>
      </c>
      <c r="E52" s="6" t="s">
        <v>642</v>
      </c>
      <c r="F52" s="6" t="s">
        <v>223</v>
      </c>
      <c r="G52" s="6" t="s">
        <v>1164</v>
      </c>
      <c r="H52" s="6" t="s">
        <v>1165</v>
      </c>
      <c r="I52" s="6" t="s">
        <v>1166</v>
      </c>
      <c r="J52" s="6" t="s">
        <v>530</v>
      </c>
      <c r="K52" s="6" t="s">
        <v>129</v>
      </c>
      <c r="L52" s="6" t="s">
        <v>1167</v>
      </c>
      <c r="M52" s="6" t="s">
        <v>478</v>
      </c>
      <c r="N52" s="6" t="s">
        <v>1168</v>
      </c>
      <c r="O52" s="6" t="s">
        <v>480</v>
      </c>
      <c r="P52" s="6" t="s">
        <v>533</v>
      </c>
      <c r="Q52" s="6" t="s">
        <v>606</v>
      </c>
      <c r="R52" s="6" t="s">
        <v>497</v>
      </c>
      <c r="S52" s="6" t="s">
        <v>484</v>
      </c>
      <c r="T52" s="6" t="s">
        <v>1169</v>
      </c>
      <c r="U52" s="6" t="s">
        <v>1170</v>
      </c>
      <c r="V52" s="6" t="s">
        <v>568</v>
      </c>
      <c r="W52" s="6" t="s">
        <v>1171</v>
      </c>
      <c r="X52" s="6" t="s">
        <v>1172</v>
      </c>
      <c r="Y52" s="6" t="s">
        <v>487</v>
      </c>
      <c r="Z52" s="6" t="s">
        <v>477</v>
      </c>
      <c r="AA52" s="6" t="s">
        <v>488</v>
      </c>
      <c r="AB52" s="6" t="s">
        <v>488</v>
      </c>
      <c r="AC52" s="6" t="s">
        <v>488</v>
      </c>
      <c r="AD52" s="6" t="s">
        <v>488</v>
      </c>
      <c r="AE52" s="6" t="s">
        <v>488</v>
      </c>
      <c r="AF52" s="6" t="s">
        <v>488</v>
      </c>
      <c r="AG52" s="6" t="s">
        <v>484</v>
      </c>
      <c r="AH52" s="6" t="s">
        <v>1173</v>
      </c>
      <c r="AI52" s="6" t="s">
        <v>573</v>
      </c>
      <c r="AJ52" s="6" t="s">
        <v>484</v>
      </c>
      <c r="AK52" s="6" t="s">
        <v>1174</v>
      </c>
      <c r="AL52" s="6" t="s">
        <v>589</v>
      </c>
      <c r="AM52" s="6" t="s">
        <v>573</v>
      </c>
      <c r="AN52" s="6" t="s">
        <v>1175</v>
      </c>
    </row>
    <row r="53" customFormat="false" ht="15" hidden="false" customHeight="false" outlineLevel="0" collapsed="false">
      <c r="A53" s="6" t="s">
        <v>1176</v>
      </c>
      <c r="B53" s="6" t="s">
        <v>374</v>
      </c>
      <c r="C53" s="6" t="s">
        <v>471</v>
      </c>
      <c r="D53" s="6" t="s">
        <v>471</v>
      </c>
      <c r="E53" s="6" t="s">
        <v>472</v>
      </c>
      <c r="F53" s="6" t="s">
        <v>383</v>
      </c>
      <c r="G53" s="6" t="s">
        <v>1177</v>
      </c>
      <c r="H53" s="6" t="s">
        <v>1178</v>
      </c>
      <c r="I53" s="6" t="s">
        <v>1179</v>
      </c>
      <c r="J53" s="6" t="s">
        <v>530</v>
      </c>
      <c r="K53" s="6" t="s">
        <v>129</v>
      </c>
      <c r="L53" s="6" t="s">
        <v>733</v>
      </c>
      <c r="M53" s="6" t="s">
        <v>478</v>
      </c>
      <c r="N53" s="6" t="s">
        <v>1180</v>
      </c>
      <c r="O53" s="6" t="s">
        <v>480</v>
      </c>
      <c r="P53" s="6" t="s">
        <v>481</v>
      </c>
      <c r="Q53" s="6" t="s">
        <v>949</v>
      </c>
      <c r="R53" s="6" t="s">
        <v>1181</v>
      </c>
      <c r="S53" s="6" t="s">
        <v>484</v>
      </c>
      <c r="T53" s="6" t="s">
        <v>1182</v>
      </c>
      <c r="U53" s="6" t="s">
        <v>1183</v>
      </c>
      <c r="V53" s="6" t="s">
        <v>539</v>
      </c>
      <c r="W53" s="6" t="s">
        <v>1184</v>
      </c>
      <c r="X53" s="6" t="s">
        <v>1185</v>
      </c>
      <c r="Y53" s="6" t="s">
        <v>1186</v>
      </c>
      <c r="Z53" s="6" t="s">
        <v>477</v>
      </c>
      <c r="AA53" s="6" t="s">
        <v>488</v>
      </c>
      <c r="AB53" s="6" t="s">
        <v>488</v>
      </c>
      <c r="AC53" s="6" t="s">
        <v>488</v>
      </c>
      <c r="AD53" s="6" t="s">
        <v>488</v>
      </c>
      <c r="AE53" s="6" t="s">
        <v>488</v>
      </c>
      <c r="AF53" s="6" t="s">
        <v>488</v>
      </c>
      <c r="AG53" s="6" t="s">
        <v>484</v>
      </c>
      <c r="AH53" s="6" t="s">
        <v>1187</v>
      </c>
      <c r="AI53" s="6" t="s">
        <v>573</v>
      </c>
      <c r="AJ53" s="6" t="s">
        <v>484</v>
      </c>
      <c r="AK53" s="6" t="s">
        <v>544</v>
      </c>
      <c r="AL53" s="6" t="s">
        <v>484</v>
      </c>
      <c r="AM53" s="6" t="s">
        <v>484</v>
      </c>
      <c r="AN53" s="6" t="s">
        <v>1188</v>
      </c>
    </row>
    <row r="54" customFormat="false" ht="15" hidden="false" customHeight="false" outlineLevel="0" collapsed="false">
      <c r="A54" s="6" t="s">
        <v>1189</v>
      </c>
      <c r="B54" s="6" t="s">
        <v>256</v>
      </c>
      <c r="C54" s="6" t="s">
        <v>471</v>
      </c>
      <c r="D54" s="6" t="s">
        <v>471</v>
      </c>
      <c r="E54" s="6" t="s">
        <v>472</v>
      </c>
      <c r="F54" s="6" t="s">
        <v>257</v>
      </c>
      <c r="G54" s="6" t="s">
        <v>1190</v>
      </c>
      <c r="H54" s="6" t="s">
        <v>1191</v>
      </c>
      <c r="I54" s="6" t="s">
        <v>1192</v>
      </c>
      <c r="J54" s="6" t="s">
        <v>530</v>
      </c>
      <c r="K54" s="6" t="s">
        <v>129</v>
      </c>
      <c r="L54" s="6" t="s">
        <v>477</v>
      </c>
      <c r="M54" s="6" t="s">
        <v>478</v>
      </c>
      <c r="N54" s="6" t="s">
        <v>1193</v>
      </c>
      <c r="O54" s="6" t="s">
        <v>532</v>
      </c>
      <c r="P54" s="6" t="s">
        <v>1075</v>
      </c>
      <c r="Q54" s="6" t="s">
        <v>772</v>
      </c>
      <c r="R54" s="6" t="s">
        <v>516</v>
      </c>
      <c r="S54" s="6" t="s">
        <v>484</v>
      </c>
      <c r="T54" s="6" t="s">
        <v>1194</v>
      </c>
      <c r="U54" s="6" t="s">
        <v>1195</v>
      </c>
      <c r="V54" s="6" t="s">
        <v>501</v>
      </c>
      <c r="W54" s="6" t="s">
        <v>1196</v>
      </c>
      <c r="X54" s="6" t="s">
        <v>1197</v>
      </c>
      <c r="Y54" s="6" t="s">
        <v>1198</v>
      </c>
      <c r="Z54" s="6" t="s">
        <v>477</v>
      </c>
      <c r="AA54" s="6" t="s">
        <v>488</v>
      </c>
      <c r="AB54" s="6" t="s">
        <v>488</v>
      </c>
      <c r="AC54" s="6" t="s">
        <v>488</v>
      </c>
      <c r="AD54" s="6" t="s">
        <v>488</v>
      </c>
      <c r="AE54" s="6" t="s">
        <v>488</v>
      </c>
      <c r="AF54" s="6" t="s">
        <v>488</v>
      </c>
      <c r="AG54" s="6" t="s">
        <v>484</v>
      </c>
      <c r="AH54" s="6" t="s">
        <v>854</v>
      </c>
      <c r="AI54" s="6" t="s">
        <v>484</v>
      </c>
      <c r="AJ54" s="6" t="s">
        <v>484</v>
      </c>
      <c r="AK54" s="6" t="s">
        <v>1080</v>
      </c>
      <c r="AL54" s="6" t="s">
        <v>484</v>
      </c>
      <c r="AM54" s="6" t="s">
        <v>484</v>
      </c>
      <c r="AN54" s="6" t="s">
        <v>1199</v>
      </c>
    </row>
    <row r="55" customFormat="false" ht="15" hidden="false" customHeight="false" outlineLevel="0" collapsed="false">
      <c r="A55" s="6" t="s">
        <v>1200</v>
      </c>
      <c r="B55" s="6" t="s">
        <v>194</v>
      </c>
      <c r="C55" s="6" t="s">
        <v>471</v>
      </c>
      <c r="D55" s="6" t="s">
        <v>471</v>
      </c>
      <c r="E55" s="6" t="s">
        <v>1201</v>
      </c>
      <c r="F55" s="6" t="s">
        <v>195</v>
      </c>
      <c r="G55" s="6" t="s">
        <v>1202</v>
      </c>
      <c r="H55" s="6" t="s">
        <v>1203</v>
      </c>
      <c r="I55" s="6" t="s">
        <v>1204</v>
      </c>
      <c r="J55" s="6" t="s">
        <v>530</v>
      </c>
      <c r="K55" s="6" t="s">
        <v>129</v>
      </c>
      <c r="L55" s="6" t="s">
        <v>477</v>
      </c>
      <c r="M55" s="6" t="s">
        <v>478</v>
      </c>
      <c r="N55" s="6" t="s">
        <v>1205</v>
      </c>
      <c r="O55" s="6" t="s">
        <v>480</v>
      </c>
      <c r="P55" s="6" t="s">
        <v>481</v>
      </c>
      <c r="Q55" s="6" t="s">
        <v>760</v>
      </c>
      <c r="R55" s="6" t="s">
        <v>1206</v>
      </c>
      <c r="S55" s="6" t="s">
        <v>1207</v>
      </c>
      <c r="T55" s="6" t="s">
        <v>1208</v>
      </c>
      <c r="U55" s="6" t="s">
        <v>1209</v>
      </c>
      <c r="V55" s="6" t="s">
        <v>501</v>
      </c>
      <c r="W55" s="6" t="s">
        <v>1210</v>
      </c>
      <c r="X55" s="6" t="s">
        <v>1211</v>
      </c>
      <c r="Y55" s="6" t="s">
        <v>1212</v>
      </c>
      <c r="Z55" s="6" t="s">
        <v>477</v>
      </c>
      <c r="AA55" s="6" t="s">
        <v>488</v>
      </c>
      <c r="AB55" s="6" t="s">
        <v>488</v>
      </c>
      <c r="AC55" s="6" t="s">
        <v>488</v>
      </c>
      <c r="AD55" s="6" t="s">
        <v>488</v>
      </c>
      <c r="AE55" s="6" t="s">
        <v>488</v>
      </c>
      <c r="AF55" s="6" t="s">
        <v>488</v>
      </c>
      <c r="AG55" s="6" t="s">
        <v>484</v>
      </c>
      <c r="AH55" s="6" t="s">
        <v>1213</v>
      </c>
      <c r="AI55" s="6" t="s">
        <v>589</v>
      </c>
      <c r="AJ55" s="6" t="s">
        <v>484</v>
      </c>
      <c r="AK55" s="6" t="s">
        <v>484</v>
      </c>
      <c r="AL55" s="6" t="s">
        <v>484</v>
      </c>
      <c r="AM55" s="6" t="s">
        <v>484</v>
      </c>
      <c r="AN55" s="6" t="s">
        <v>1214</v>
      </c>
    </row>
    <row r="56" customFormat="false" ht="15" hidden="false" customHeight="false" outlineLevel="0" collapsed="false">
      <c r="A56" s="6" t="s">
        <v>1215</v>
      </c>
      <c r="B56" s="6" t="s">
        <v>156</v>
      </c>
      <c r="C56" s="6" t="s">
        <v>471</v>
      </c>
      <c r="D56" s="6" t="s">
        <v>471</v>
      </c>
      <c r="E56" s="6" t="s">
        <v>472</v>
      </c>
      <c r="F56" s="6" t="s">
        <v>157</v>
      </c>
      <c r="G56" s="6" t="s">
        <v>1216</v>
      </c>
      <c r="H56" s="6" t="s">
        <v>1217</v>
      </c>
      <c r="I56" s="6" t="s">
        <v>1218</v>
      </c>
      <c r="J56" s="6" t="s">
        <v>530</v>
      </c>
      <c r="K56" s="6" t="s">
        <v>129</v>
      </c>
      <c r="L56" s="6" t="s">
        <v>477</v>
      </c>
      <c r="M56" s="6" t="s">
        <v>478</v>
      </c>
      <c r="N56" s="6" t="s">
        <v>1219</v>
      </c>
      <c r="O56" s="6" t="s">
        <v>480</v>
      </c>
      <c r="P56" s="6" t="s">
        <v>1075</v>
      </c>
      <c r="Q56" s="6" t="s">
        <v>760</v>
      </c>
      <c r="R56" s="6" t="s">
        <v>1220</v>
      </c>
      <c r="S56" s="6" t="s">
        <v>1221</v>
      </c>
      <c r="T56" s="6" t="s">
        <v>1222</v>
      </c>
      <c r="U56" s="6" t="s">
        <v>1223</v>
      </c>
      <c r="V56" s="6" t="s">
        <v>539</v>
      </c>
      <c r="W56" s="6" t="s">
        <v>1224</v>
      </c>
      <c r="X56" s="6" t="s">
        <v>1225</v>
      </c>
      <c r="Y56" s="6" t="s">
        <v>978</v>
      </c>
      <c r="Z56" s="6" t="s">
        <v>477</v>
      </c>
      <c r="AA56" s="6" t="s">
        <v>488</v>
      </c>
      <c r="AB56" s="6" t="s">
        <v>488</v>
      </c>
      <c r="AC56" s="6" t="s">
        <v>488</v>
      </c>
      <c r="AD56" s="6" t="s">
        <v>488</v>
      </c>
      <c r="AE56" s="6" t="s">
        <v>488</v>
      </c>
      <c r="AF56" s="6" t="s">
        <v>488</v>
      </c>
      <c r="AG56" s="6" t="s">
        <v>484</v>
      </c>
      <c r="AH56" s="6" t="s">
        <v>854</v>
      </c>
      <c r="AI56" s="6" t="s">
        <v>484</v>
      </c>
      <c r="AJ56" s="6" t="s">
        <v>484</v>
      </c>
      <c r="AK56" s="6" t="s">
        <v>1226</v>
      </c>
      <c r="AL56" s="6" t="s">
        <v>484</v>
      </c>
      <c r="AM56" s="6" t="s">
        <v>484</v>
      </c>
      <c r="AN56" s="6" t="s">
        <v>1227</v>
      </c>
    </row>
    <row r="57" customFormat="false" ht="15" hidden="false" customHeight="false" outlineLevel="0" collapsed="false">
      <c r="A57" s="6" t="s">
        <v>1228</v>
      </c>
      <c r="B57" s="6" t="s">
        <v>169</v>
      </c>
      <c r="C57" s="6" t="s">
        <v>471</v>
      </c>
      <c r="D57" s="6" t="s">
        <v>471</v>
      </c>
      <c r="E57" s="6" t="s">
        <v>472</v>
      </c>
      <c r="F57" s="6" t="s">
        <v>170</v>
      </c>
      <c r="G57" s="6" t="s">
        <v>1229</v>
      </c>
      <c r="H57" s="6" t="s">
        <v>1230</v>
      </c>
      <c r="I57" s="6" t="s">
        <v>1231</v>
      </c>
      <c r="J57" s="6" t="s">
        <v>530</v>
      </c>
      <c r="K57" s="6" t="s">
        <v>129</v>
      </c>
      <c r="L57" s="6" t="s">
        <v>477</v>
      </c>
      <c r="M57" s="6" t="s">
        <v>478</v>
      </c>
      <c r="N57" s="6" t="s">
        <v>1232</v>
      </c>
      <c r="O57" s="6" t="s">
        <v>480</v>
      </c>
      <c r="P57" s="6" t="s">
        <v>481</v>
      </c>
      <c r="Q57" s="6" t="s">
        <v>1233</v>
      </c>
      <c r="R57" s="6" t="s">
        <v>736</v>
      </c>
      <c r="S57" s="6" t="s">
        <v>484</v>
      </c>
      <c r="T57" s="6" t="s">
        <v>1234</v>
      </c>
      <c r="U57" s="6" t="s">
        <v>1235</v>
      </c>
      <c r="V57" s="6" t="s">
        <v>486</v>
      </c>
      <c r="W57" s="6" t="s">
        <v>1236</v>
      </c>
      <c r="X57" s="6" t="s">
        <v>1237</v>
      </c>
      <c r="Y57" s="6" t="s">
        <v>477</v>
      </c>
      <c r="Z57" s="6" t="s">
        <v>477</v>
      </c>
      <c r="AA57" s="6" t="s">
        <v>488</v>
      </c>
      <c r="AB57" s="6" t="s">
        <v>488</v>
      </c>
      <c r="AC57" s="6" t="s">
        <v>488</v>
      </c>
      <c r="AD57" s="6" t="s">
        <v>488</v>
      </c>
      <c r="AE57" s="6" t="s">
        <v>488</v>
      </c>
      <c r="AF57" s="6" t="s">
        <v>488</v>
      </c>
      <c r="AG57" s="6" t="s">
        <v>587</v>
      </c>
      <c r="AH57" s="6" t="s">
        <v>1238</v>
      </c>
      <c r="AI57" s="6" t="s">
        <v>573</v>
      </c>
      <c r="AJ57" s="6" t="s">
        <v>484</v>
      </c>
      <c r="AK57" s="6" t="s">
        <v>1239</v>
      </c>
      <c r="AL57" s="6" t="s">
        <v>573</v>
      </c>
      <c r="AM57" s="6" t="s">
        <v>484</v>
      </c>
      <c r="AN57" s="6" t="s">
        <v>1240</v>
      </c>
    </row>
    <row r="58" customFormat="false" ht="15" hidden="false" customHeight="false" outlineLevel="0" collapsed="false">
      <c r="A58" s="6" t="s">
        <v>1241</v>
      </c>
      <c r="B58" s="6" t="s">
        <v>265</v>
      </c>
      <c r="C58" s="6" t="s">
        <v>471</v>
      </c>
      <c r="D58" s="6" t="s">
        <v>471</v>
      </c>
      <c r="E58" s="6" t="s">
        <v>472</v>
      </c>
      <c r="F58" s="6" t="s">
        <v>266</v>
      </c>
      <c r="G58" s="6" t="s">
        <v>1242</v>
      </c>
      <c r="H58" s="6" t="s">
        <v>1243</v>
      </c>
      <c r="I58" s="6" t="s">
        <v>1244</v>
      </c>
      <c r="J58" s="6" t="s">
        <v>530</v>
      </c>
      <c r="K58" s="6" t="s">
        <v>129</v>
      </c>
      <c r="L58" s="6" t="s">
        <v>999</v>
      </c>
      <c r="M58" s="6" t="s">
        <v>478</v>
      </c>
      <c r="N58" s="6" t="s">
        <v>1245</v>
      </c>
      <c r="O58" s="6" t="s">
        <v>532</v>
      </c>
      <c r="P58" s="6" t="s">
        <v>481</v>
      </c>
      <c r="Q58" s="6" t="s">
        <v>1246</v>
      </c>
      <c r="R58" s="6" t="s">
        <v>1247</v>
      </c>
      <c r="S58" s="6" t="s">
        <v>1248</v>
      </c>
      <c r="T58" s="6" t="s">
        <v>1249</v>
      </c>
      <c r="U58" s="6" t="s">
        <v>1250</v>
      </c>
      <c r="V58" s="6" t="s">
        <v>539</v>
      </c>
      <c r="W58" s="6" t="s">
        <v>484</v>
      </c>
      <c r="X58" s="6" t="s">
        <v>484</v>
      </c>
      <c r="Y58" s="6" t="s">
        <v>1251</v>
      </c>
      <c r="Z58" s="6" t="s">
        <v>477</v>
      </c>
      <c r="AA58" s="6" t="s">
        <v>488</v>
      </c>
      <c r="AB58" s="6" t="s">
        <v>488</v>
      </c>
      <c r="AC58" s="6" t="s">
        <v>488</v>
      </c>
      <c r="AD58" s="6" t="s">
        <v>488</v>
      </c>
      <c r="AE58" s="6" t="s">
        <v>488</v>
      </c>
      <c r="AF58" s="6" t="s">
        <v>488</v>
      </c>
      <c r="AG58" s="6" t="s">
        <v>484</v>
      </c>
      <c r="AH58" s="6" t="s">
        <v>854</v>
      </c>
      <c r="AI58" s="6" t="s">
        <v>484</v>
      </c>
      <c r="AJ58" s="6" t="s">
        <v>484</v>
      </c>
      <c r="AK58" s="6" t="s">
        <v>1226</v>
      </c>
      <c r="AL58" s="6" t="s">
        <v>589</v>
      </c>
      <c r="AM58" s="6" t="s">
        <v>484</v>
      </c>
      <c r="AN58" s="6" t="s">
        <v>1252</v>
      </c>
    </row>
    <row r="59" customFormat="false" ht="15" hidden="false" customHeight="false" outlineLevel="0" collapsed="false">
      <c r="A59" s="6" t="s">
        <v>1253</v>
      </c>
      <c r="B59" s="6" t="s">
        <v>251</v>
      </c>
      <c r="C59" s="6" t="s">
        <v>471</v>
      </c>
      <c r="D59" s="6" t="s">
        <v>471</v>
      </c>
      <c r="E59" s="6" t="s">
        <v>472</v>
      </c>
      <c r="F59" s="6" t="s">
        <v>252</v>
      </c>
      <c r="G59" s="6" t="s">
        <v>1254</v>
      </c>
      <c r="H59" s="6" t="s">
        <v>1255</v>
      </c>
      <c r="I59" s="6" t="s">
        <v>1256</v>
      </c>
      <c r="J59" s="6" t="s">
        <v>530</v>
      </c>
      <c r="K59" s="6" t="s">
        <v>129</v>
      </c>
      <c r="L59" s="6" t="s">
        <v>733</v>
      </c>
      <c r="M59" s="6" t="s">
        <v>478</v>
      </c>
      <c r="N59" s="6" t="s">
        <v>1257</v>
      </c>
      <c r="O59" s="6" t="s">
        <v>480</v>
      </c>
      <c r="P59" s="6" t="s">
        <v>533</v>
      </c>
      <c r="Q59" s="6" t="s">
        <v>1258</v>
      </c>
      <c r="R59" s="6" t="s">
        <v>1259</v>
      </c>
      <c r="S59" s="6" t="s">
        <v>484</v>
      </c>
      <c r="T59" s="6" t="s">
        <v>1260</v>
      </c>
      <c r="U59" s="6" t="s">
        <v>1261</v>
      </c>
      <c r="V59" s="6" t="s">
        <v>539</v>
      </c>
      <c r="W59" s="6" t="s">
        <v>1262</v>
      </c>
      <c r="X59" s="6" t="s">
        <v>1134</v>
      </c>
      <c r="Y59" s="6" t="s">
        <v>487</v>
      </c>
      <c r="Z59" s="6" t="s">
        <v>477</v>
      </c>
      <c r="AA59" s="6" t="s">
        <v>488</v>
      </c>
      <c r="AB59" s="6" t="s">
        <v>488</v>
      </c>
      <c r="AC59" s="6" t="s">
        <v>488</v>
      </c>
      <c r="AD59" s="6" t="s">
        <v>488</v>
      </c>
      <c r="AE59" s="6" t="s">
        <v>488</v>
      </c>
      <c r="AF59" s="6" t="s">
        <v>488</v>
      </c>
      <c r="AG59" s="6" t="s">
        <v>484</v>
      </c>
      <c r="AH59" s="6" t="s">
        <v>854</v>
      </c>
      <c r="AI59" s="6" t="s">
        <v>484</v>
      </c>
      <c r="AJ59" s="6" t="s">
        <v>484</v>
      </c>
      <c r="AK59" s="6" t="s">
        <v>1136</v>
      </c>
      <c r="AL59" s="6" t="s">
        <v>484</v>
      </c>
      <c r="AM59" s="6" t="s">
        <v>484</v>
      </c>
      <c r="AN59" s="6" t="s">
        <v>1263</v>
      </c>
    </row>
    <row r="60" customFormat="false" ht="15" hidden="false" customHeight="false" outlineLevel="0" collapsed="false">
      <c r="A60" s="6" t="s">
        <v>1264</v>
      </c>
      <c r="B60" s="6" t="s">
        <v>230</v>
      </c>
      <c r="C60" s="6" t="s">
        <v>471</v>
      </c>
      <c r="D60" s="6" t="s">
        <v>471</v>
      </c>
      <c r="E60" s="6" t="s">
        <v>472</v>
      </c>
      <c r="F60" s="6" t="s">
        <v>231</v>
      </c>
      <c r="G60" s="6" t="s">
        <v>1265</v>
      </c>
      <c r="H60" s="6" t="s">
        <v>1266</v>
      </c>
      <c r="I60" s="6" t="s">
        <v>1267</v>
      </c>
      <c r="J60" s="6" t="s">
        <v>476</v>
      </c>
      <c r="K60" s="6" t="s">
        <v>129</v>
      </c>
      <c r="L60" s="6" t="s">
        <v>477</v>
      </c>
      <c r="M60" s="6" t="s">
        <v>478</v>
      </c>
      <c r="N60" s="6" t="s">
        <v>1268</v>
      </c>
      <c r="O60" s="6" t="s">
        <v>480</v>
      </c>
      <c r="P60" s="6" t="s">
        <v>533</v>
      </c>
      <c r="Q60" s="6" t="s">
        <v>690</v>
      </c>
      <c r="R60" s="6" t="s">
        <v>1269</v>
      </c>
      <c r="S60" s="6" t="s">
        <v>1270</v>
      </c>
      <c r="T60" s="6" t="s">
        <v>1271</v>
      </c>
      <c r="U60" s="6" t="s">
        <v>1272</v>
      </c>
      <c r="V60" s="6" t="s">
        <v>539</v>
      </c>
      <c r="W60" s="6" t="s">
        <v>1273</v>
      </c>
      <c r="X60" s="6" t="s">
        <v>1274</v>
      </c>
      <c r="Y60" s="6" t="s">
        <v>1275</v>
      </c>
      <c r="Z60" s="6" t="s">
        <v>477</v>
      </c>
      <c r="AA60" s="6" t="s">
        <v>488</v>
      </c>
      <c r="AB60" s="6" t="s">
        <v>488</v>
      </c>
      <c r="AC60" s="6" t="s">
        <v>488</v>
      </c>
      <c r="AD60" s="6" t="s">
        <v>488</v>
      </c>
      <c r="AE60" s="6" t="s">
        <v>488</v>
      </c>
      <c r="AF60" s="6" t="s">
        <v>488</v>
      </c>
      <c r="AG60" s="6" t="s">
        <v>484</v>
      </c>
      <c r="AH60" s="6" t="s">
        <v>854</v>
      </c>
      <c r="AI60" s="6" t="s">
        <v>484</v>
      </c>
      <c r="AJ60" s="6" t="s">
        <v>484</v>
      </c>
      <c r="AK60" s="6" t="s">
        <v>484</v>
      </c>
      <c r="AL60" s="6" t="s">
        <v>484</v>
      </c>
      <c r="AM60" s="6" t="s">
        <v>484</v>
      </c>
      <c r="AN60" s="6" t="s">
        <v>1276</v>
      </c>
    </row>
    <row r="61" customFormat="false" ht="15" hidden="false" customHeight="false" outlineLevel="0" collapsed="false">
      <c r="A61" s="6" t="s">
        <v>1277</v>
      </c>
      <c r="B61" s="6" t="s">
        <v>230</v>
      </c>
      <c r="C61" s="6" t="s">
        <v>471</v>
      </c>
      <c r="D61" s="6" t="s">
        <v>471</v>
      </c>
      <c r="E61" s="6" t="s">
        <v>472</v>
      </c>
      <c r="F61" s="6" t="s">
        <v>231</v>
      </c>
      <c r="G61" s="6" t="s">
        <v>1278</v>
      </c>
      <c r="H61" s="6" t="s">
        <v>1279</v>
      </c>
      <c r="I61" s="6" t="s">
        <v>1280</v>
      </c>
      <c r="J61" s="6" t="s">
        <v>476</v>
      </c>
      <c r="K61" s="6" t="s">
        <v>129</v>
      </c>
      <c r="L61" s="6" t="s">
        <v>477</v>
      </c>
      <c r="M61" s="6" t="s">
        <v>478</v>
      </c>
      <c r="N61" s="6" t="s">
        <v>1281</v>
      </c>
      <c r="O61" s="6" t="s">
        <v>480</v>
      </c>
      <c r="P61" s="6" t="s">
        <v>533</v>
      </c>
      <c r="Q61" s="6" t="s">
        <v>677</v>
      </c>
      <c r="R61" s="6" t="s">
        <v>876</v>
      </c>
      <c r="S61" s="6" t="s">
        <v>484</v>
      </c>
      <c r="T61" s="6" t="s">
        <v>1282</v>
      </c>
      <c r="U61" s="6" t="s">
        <v>1040</v>
      </c>
      <c r="V61" s="6" t="s">
        <v>539</v>
      </c>
      <c r="W61" s="6" t="s">
        <v>1283</v>
      </c>
      <c r="X61" s="6" t="s">
        <v>1284</v>
      </c>
      <c r="Y61" s="6" t="s">
        <v>477</v>
      </c>
      <c r="Z61" s="6" t="s">
        <v>477</v>
      </c>
      <c r="AA61" s="6" t="s">
        <v>488</v>
      </c>
      <c r="AB61" s="6" t="s">
        <v>488</v>
      </c>
      <c r="AC61" s="6" t="s">
        <v>488</v>
      </c>
      <c r="AD61" s="6" t="s">
        <v>488</v>
      </c>
      <c r="AE61" s="6" t="s">
        <v>488</v>
      </c>
      <c r="AF61" s="6" t="s">
        <v>488</v>
      </c>
      <c r="AG61" s="6" t="s">
        <v>587</v>
      </c>
      <c r="AH61" s="6" t="s">
        <v>1285</v>
      </c>
      <c r="AI61" s="6" t="s">
        <v>573</v>
      </c>
      <c r="AJ61" s="6" t="s">
        <v>484</v>
      </c>
      <c r="AK61" s="6" t="s">
        <v>1286</v>
      </c>
      <c r="AL61" s="6" t="s">
        <v>484</v>
      </c>
      <c r="AM61" s="6" t="s">
        <v>484</v>
      </c>
      <c r="AN61" s="6" t="s">
        <v>1287</v>
      </c>
    </row>
    <row r="62" customFormat="false" ht="15" hidden="false" customHeight="false" outlineLevel="0" collapsed="false">
      <c r="A62" s="6" t="s">
        <v>1288</v>
      </c>
      <c r="B62" s="6" t="s">
        <v>291</v>
      </c>
      <c r="C62" s="6" t="s">
        <v>471</v>
      </c>
      <c r="D62" s="6" t="s">
        <v>471</v>
      </c>
      <c r="E62" s="6" t="s">
        <v>472</v>
      </c>
      <c r="F62" s="6" t="s">
        <v>292</v>
      </c>
      <c r="G62" s="6" t="s">
        <v>1289</v>
      </c>
      <c r="H62" s="6" t="s">
        <v>1290</v>
      </c>
      <c r="I62" s="6" t="s">
        <v>1291</v>
      </c>
      <c r="J62" s="6" t="s">
        <v>476</v>
      </c>
      <c r="K62" s="6" t="s">
        <v>129</v>
      </c>
      <c r="L62" s="6" t="s">
        <v>477</v>
      </c>
      <c r="M62" s="6" t="s">
        <v>478</v>
      </c>
      <c r="N62" s="6" t="s">
        <v>1292</v>
      </c>
      <c r="O62" s="6" t="s">
        <v>480</v>
      </c>
      <c r="P62" s="6" t="s">
        <v>481</v>
      </c>
      <c r="Q62" s="6" t="s">
        <v>760</v>
      </c>
      <c r="R62" s="6" t="s">
        <v>497</v>
      </c>
      <c r="S62" s="6" t="s">
        <v>484</v>
      </c>
      <c r="T62" s="6" t="s">
        <v>1293</v>
      </c>
      <c r="U62" s="6" t="s">
        <v>864</v>
      </c>
      <c r="V62" s="6" t="s">
        <v>486</v>
      </c>
      <c r="W62" s="6" t="s">
        <v>1294</v>
      </c>
      <c r="X62" s="6" t="s">
        <v>1295</v>
      </c>
      <c r="Y62" s="6" t="s">
        <v>477</v>
      </c>
      <c r="Z62" s="6" t="s">
        <v>477</v>
      </c>
      <c r="AA62" s="6" t="s">
        <v>488</v>
      </c>
      <c r="AB62" s="6" t="s">
        <v>488</v>
      </c>
      <c r="AC62" s="6" t="s">
        <v>488</v>
      </c>
      <c r="AD62" s="6" t="s">
        <v>488</v>
      </c>
      <c r="AE62" s="6" t="s">
        <v>488</v>
      </c>
      <c r="AF62" s="6" t="s">
        <v>488</v>
      </c>
      <c r="AG62" s="6" t="s">
        <v>484</v>
      </c>
      <c r="AH62" s="6" t="s">
        <v>854</v>
      </c>
      <c r="AI62" s="6" t="s">
        <v>484</v>
      </c>
      <c r="AJ62" s="6" t="s">
        <v>484</v>
      </c>
      <c r="AK62" s="6" t="s">
        <v>484</v>
      </c>
      <c r="AL62" s="6" t="s">
        <v>484</v>
      </c>
      <c r="AM62" s="6" t="s">
        <v>484</v>
      </c>
      <c r="AN62" s="6" t="s">
        <v>1296</v>
      </c>
    </row>
    <row r="63" customFormat="false" ht="15" hidden="false" customHeight="false" outlineLevel="0" collapsed="false">
      <c r="A63" s="6" t="s">
        <v>1297</v>
      </c>
      <c r="B63" s="6" t="s">
        <v>143</v>
      </c>
      <c r="C63" s="6" t="s">
        <v>471</v>
      </c>
      <c r="D63" s="6" t="s">
        <v>471</v>
      </c>
      <c r="E63" s="6" t="s">
        <v>472</v>
      </c>
      <c r="F63" s="6" t="s">
        <v>508</v>
      </c>
      <c r="G63" s="6" t="s">
        <v>1298</v>
      </c>
      <c r="H63" s="6" t="s">
        <v>1299</v>
      </c>
      <c r="I63" s="6" t="s">
        <v>1300</v>
      </c>
      <c r="J63" s="6" t="s">
        <v>512</v>
      </c>
      <c r="K63" s="6" t="s">
        <v>129</v>
      </c>
      <c r="L63" s="6" t="s">
        <v>477</v>
      </c>
      <c r="M63" s="6" t="s">
        <v>478</v>
      </c>
      <c r="N63" s="6" t="s">
        <v>1301</v>
      </c>
      <c r="O63" s="6" t="s">
        <v>480</v>
      </c>
      <c r="P63" s="6" t="s">
        <v>1302</v>
      </c>
      <c r="Q63" s="6" t="s">
        <v>606</v>
      </c>
      <c r="R63" s="6" t="s">
        <v>1303</v>
      </c>
      <c r="S63" s="6" t="s">
        <v>484</v>
      </c>
      <c r="T63" s="6" t="s">
        <v>1304</v>
      </c>
      <c r="U63" s="6" t="s">
        <v>1305</v>
      </c>
      <c r="V63" s="6" t="s">
        <v>486</v>
      </c>
      <c r="W63" s="6" t="s">
        <v>1306</v>
      </c>
      <c r="X63" s="6" t="s">
        <v>1307</v>
      </c>
      <c r="Y63" s="6" t="s">
        <v>1308</v>
      </c>
      <c r="Z63" s="6" t="s">
        <v>477</v>
      </c>
      <c r="AA63" s="6" t="s">
        <v>488</v>
      </c>
      <c r="AB63" s="6" t="s">
        <v>488</v>
      </c>
      <c r="AC63" s="6" t="s">
        <v>488</v>
      </c>
      <c r="AD63" s="6" t="s">
        <v>488</v>
      </c>
      <c r="AE63" s="6" t="s">
        <v>488</v>
      </c>
      <c r="AF63" s="6" t="s">
        <v>488</v>
      </c>
      <c r="AG63" s="6" t="s">
        <v>484</v>
      </c>
      <c r="AH63" s="6" t="s">
        <v>854</v>
      </c>
      <c r="AI63" s="6" t="s">
        <v>484</v>
      </c>
      <c r="AJ63" s="6" t="s">
        <v>484</v>
      </c>
      <c r="AK63" s="6" t="s">
        <v>484</v>
      </c>
      <c r="AL63" s="6" t="s">
        <v>484</v>
      </c>
      <c r="AM63" s="6" t="s">
        <v>484</v>
      </c>
      <c r="AN63" s="6" t="s">
        <v>1309</v>
      </c>
    </row>
    <row r="64" customFormat="false" ht="15" hidden="false" customHeight="false" outlineLevel="0" collapsed="false">
      <c r="A64" s="6" t="s">
        <v>1310</v>
      </c>
      <c r="B64" s="6" t="s">
        <v>203</v>
      </c>
      <c r="C64" s="6" t="s">
        <v>471</v>
      </c>
      <c r="D64" s="6" t="s">
        <v>471</v>
      </c>
      <c r="E64" s="6" t="s">
        <v>472</v>
      </c>
      <c r="F64" s="6" t="s">
        <v>204</v>
      </c>
      <c r="G64" s="6" t="s">
        <v>1311</v>
      </c>
      <c r="H64" s="6" t="s">
        <v>1312</v>
      </c>
      <c r="I64" s="6" t="s">
        <v>1313</v>
      </c>
      <c r="J64" s="6" t="s">
        <v>476</v>
      </c>
      <c r="K64" s="6" t="s">
        <v>129</v>
      </c>
      <c r="L64" s="6" t="s">
        <v>477</v>
      </c>
      <c r="M64" s="6" t="s">
        <v>478</v>
      </c>
      <c r="N64" s="6" t="s">
        <v>1314</v>
      </c>
      <c r="O64" s="6" t="s">
        <v>480</v>
      </c>
      <c r="P64" s="6" t="s">
        <v>481</v>
      </c>
      <c r="Q64" s="6" t="s">
        <v>690</v>
      </c>
      <c r="R64" s="6" t="s">
        <v>516</v>
      </c>
      <c r="S64" s="6" t="s">
        <v>484</v>
      </c>
      <c r="T64" s="6" t="s">
        <v>1315</v>
      </c>
      <c r="U64" s="6" t="s">
        <v>1040</v>
      </c>
      <c r="V64" s="6" t="s">
        <v>539</v>
      </c>
      <c r="W64" s="6" t="s">
        <v>1316</v>
      </c>
      <c r="X64" s="6" t="s">
        <v>1317</v>
      </c>
      <c r="Y64" s="6" t="s">
        <v>477</v>
      </c>
      <c r="Z64" s="6" t="s">
        <v>477</v>
      </c>
      <c r="AA64" s="6" t="s">
        <v>488</v>
      </c>
      <c r="AB64" s="6" t="s">
        <v>488</v>
      </c>
      <c r="AC64" s="6" t="s">
        <v>488</v>
      </c>
      <c r="AD64" s="6" t="s">
        <v>488</v>
      </c>
      <c r="AE64" s="6" t="s">
        <v>488</v>
      </c>
      <c r="AF64" s="6" t="s">
        <v>488</v>
      </c>
      <c r="AG64" s="6" t="s">
        <v>484</v>
      </c>
      <c r="AH64" s="6" t="s">
        <v>1318</v>
      </c>
      <c r="AI64" s="6" t="s">
        <v>484</v>
      </c>
      <c r="AJ64" s="6" t="s">
        <v>484</v>
      </c>
      <c r="AK64" s="6" t="s">
        <v>1319</v>
      </c>
      <c r="AL64" s="6" t="s">
        <v>484</v>
      </c>
      <c r="AM64" s="6" t="s">
        <v>484</v>
      </c>
      <c r="AN64" s="6" t="s">
        <v>1320</v>
      </c>
    </row>
    <row r="65" customFormat="false" ht="15" hidden="false" customHeight="false" outlineLevel="0" collapsed="false">
      <c r="A65" s="6" t="s">
        <v>1321</v>
      </c>
      <c r="B65" s="6" t="s">
        <v>143</v>
      </c>
      <c r="C65" s="6" t="s">
        <v>471</v>
      </c>
      <c r="D65" s="6" t="s">
        <v>471</v>
      </c>
      <c r="E65" s="6" t="s">
        <v>472</v>
      </c>
      <c r="F65" s="6" t="s">
        <v>508</v>
      </c>
      <c r="G65" s="6" t="s">
        <v>1322</v>
      </c>
      <c r="H65" s="6" t="s">
        <v>1323</v>
      </c>
      <c r="I65" s="6" t="s">
        <v>1324</v>
      </c>
      <c r="J65" s="6" t="s">
        <v>512</v>
      </c>
      <c r="K65" s="6" t="s">
        <v>129</v>
      </c>
      <c r="L65" s="6" t="s">
        <v>477</v>
      </c>
      <c r="M65" s="6" t="s">
        <v>478</v>
      </c>
      <c r="N65" s="6" t="s">
        <v>1325</v>
      </c>
      <c r="O65" s="6" t="s">
        <v>480</v>
      </c>
      <c r="P65" s="6" t="s">
        <v>1326</v>
      </c>
      <c r="Q65" s="6" t="s">
        <v>1327</v>
      </c>
      <c r="R65" s="6" t="s">
        <v>497</v>
      </c>
      <c r="S65" s="6" t="s">
        <v>484</v>
      </c>
      <c r="T65" s="6" t="s">
        <v>1328</v>
      </c>
      <c r="U65" s="6" t="s">
        <v>1329</v>
      </c>
      <c r="V65" s="6" t="s">
        <v>486</v>
      </c>
      <c r="W65" s="6" t="s">
        <v>1330</v>
      </c>
      <c r="X65" s="6" t="s">
        <v>1331</v>
      </c>
      <c r="Y65" s="6" t="s">
        <v>1332</v>
      </c>
      <c r="Z65" s="6" t="s">
        <v>477</v>
      </c>
      <c r="AA65" s="6" t="s">
        <v>488</v>
      </c>
      <c r="AB65" s="6" t="s">
        <v>488</v>
      </c>
      <c r="AC65" s="6" t="s">
        <v>488</v>
      </c>
      <c r="AD65" s="6" t="s">
        <v>488</v>
      </c>
      <c r="AE65" s="6" t="s">
        <v>488</v>
      </c>
      <c r="AF65" s="6" t="s">
        <v>488</v>
      </c>
      <c r="AG65" s="6" t="s">
        <v>484</v>
      </c>
      <c r="AH65" s="6" t="s">
        <v>1333</v>
      </c>
      <c r="AI65" s="6" t="s">
        <v>484</v>
      </c>
      <c r="AJ65" s="6" t="s">
        <v>484</v>
      </c>
      <c r="AK65" s="6" t="s">
        <v>484</v>
      </c>
      <c r="AL65" s="6" t="s">
        <v>484</v>
      </c>
      <c r="AM65" s="6" t="s">
        <v>589</v>
      </c>
      <c r="AN65" s="6" t="s">
        <v>1334</v>
      </c>
    </row>
    <row r="66" customFormat="false" ht="15" hidden="false" customHeight="false" outlineLevel="0" collapsed="false">
      <c r="A66" s="6" t="s">
        <v>1335</v>
      </c>
      <c r="B66" s="6" t="s">
        <v>143</v>
      </c>
      <c r="C66" s="6" t="s">
        <v>471</v>
      </c>
      <c r="D66" s="6" t="s">
        <v>471</v>
      </c>
      <c r="E66" s="6" t="s">
        <v>472</v>
      </c>
      <c r="F66" s="6" t="s">
        <v>508</v>
      </c>
      <c r="G66" s="6" t="s">
        <v>1336</v>
      </c>
      <c r="H66" s="6" t="s">
        <v>1337</v>
      </c>
      <c r="I66" s="6" t="s">
        <v>1338</v>
      </c>
      <c r="J66" s="6" t="s">
        <v>512</v>
      </c>
      <c r="K66" s="6" t="s">
        <v>129</v>
      </c>
      <c r="L66" s="6" t="s">
        <v>477</v>
      </c>
      <c r="M66" s="6" t="s">
        <v>478</v>
      </c>
      <c r="N66" s="6" t="s">
        <v>1339</v>
      </c>
      <c r="O66" s="6" t="s">
        <v>480</v>
      </c>
      <c r="P66" s="6" t="s">
        <v>720</v>
      </c>
      <c r="Q66" s="6" t="s">
        <v>677</v>
      </c>
      <c r="R66" s="6" t="s">
        <v>497</v>
      </c>
      <c r="S66" s="6" t="s">
        <v>1340</v>
      </c>
      <c r="T66" s="6" t="s">
        <v>1341</v>
      </c>
      <c r="U66" s="6" t="s">
        <v>1040</v>
      </c>
      <c r="V66" s="6" t="s">
        <v>568</v>
      </c>
      <c r="W66" s="6" t="s">
        <v>1342</v>
      </c>
      <c r="X66" s="6" t="s">
        <v>1343</v>
      </c>
      <c r="Y66" s="6" t="s">
        <v>1332</v>
      </c>
      <c r="Z66" s="6" t="s">
        <v>477</v>
      </c>
      <c r="AA66" s="6" t="s">
        <v>488</v>
      </c>
      <c r="AB66" s="6" t="s">
        <v>488</v>
      </c>
      <c r="AC66" s="6" t="s">
        <v>488</v>
      </c>
      <c r="AD66" s="6" t="s">
        <v>488</v>
      </c>
      <c r="AE66" s="6" t="s">
        <v>488</v>
      </c>
      <c r="AF66" s="6" t="s">
        <v>488</v>
      </c>
      <c r="AG66" s="6" t="s">
        <v>484</v>
      </c>
      <c r="AH66" s="6" t="s">
        <v>854</v>
      </c>
      <c r="AI66" s="6" t="s">
        <v>484</v>
      </c>
      <c r="AJ66" s="6" t="s">
        <v>484</v>
      </c>
      <c r="AK66" s="6" t="s">
        <v>1344</v>
      </c>
      <c r="AL66" s="6" t="s">
        <v>484</v>
      </c>
      <c r="AM66" s="6" t="s">
        <v>573</v>
      </c>
      <c r="AN66" s="6" t="s">
        <v>1345</v>
      </c>
    </row>
    <row r="67" customFormat="false" ht="15" hidden="false" customHeight="false" outlineLevel="0" collapsed="false">
      <c r="A67" s="6" t="s">
        <v>1346</v>
      </c>
      <c r="B67" s="6" t="s">
        <v>374</v>
      </c>
      <c r="C67" s="6" t="s">
        <v>471</v>
      </c>
      <c r="D67" s="6" t="s">
        <v>471</v>
      </c>
      <c r="E67" s="6" t="s">
        <v>1347</v>
      </c>
      <c r="F67" s="6" t="s">
        <v>384</v>
      </c>
      <c r="G67" s="6" t="s">
        <v>1348</v>
      </c>
      <c r="H67" s="6" t="s">
        <v>1349</v>
      </c>
      <c r="I67" s="6" t="s">
        <v>1350</v>
      </c>
      <c r="J67" s="6" t="s">
        <v>512</v>
      </c>
      <c r="K67" s="6" t="s">
        <v>129</v>
      </c>
      <c r="L67" s="6" t="s">
        <v>477</v>
      </c>
      <c r="M67" s="6" t="s">
        <v>478</v>
      </c>
      <c r="N67" s="6" t="s">
        <v>1351</v>
      </c>
      <c r="O67" s="6" t="s">
        <v>480</v>
      </c>
      <c r="P67" s="6" t="s">
        <v>481</v>
      </c>
      <c r="Q67" s="6" t="s">
        <v>760</v>
      </c>
      <c r="R67" s="6" t="s">
        <v>1352</v>
      </c>
      <c r="S67" s="6" t="s">
        <v>1353</v>
      </c>
      <c r="T67" s="6" t="s">
        <v>1354</v>
      </c>
      <c r="U67" s="6" t="s">
        <v>1355</v>
      </c>
      <c r="V67" s="6" t="s">
        <v>539</v>
      </c>
      <c r="W67" s="6" t="s">
        <v>1356</v>
      </c>
      <c r="X67" s="6" t="s">
        <v>1357</v>
      </c>
      <c r="Y67" s="6" t="s">
        <v>1358</v>
      </c>
      <c r="Z67" s="6" t="s">
        <v>477</v>
      </c>
      <c r="AA67" s="6" t="s">
        <v>488</v>
      </c>
      <c r="AB67" s="6" t="s">
        <v>488</v>
      </c>
      <c r="AC67" s="6" t="s">
        <v>488</v>
      </c>
      <c r="AD67" s="6" t="s">
        <v>488</v>
      </c>
      <c r="AE67" s="6" t="s">
        <v>488</v>
      </c>
      <c r="AF67" s="6" t="s">
        <v>488</v>
      </c>
      <c r="AG67" s="6" t="s">
        <v>587</v>
      </c>
      <c r="AH67" s="6" t="s">
        <v>1359</v>
      </c>
      <c r="AI67" s="6" t="s">
        <v>589</v>
      </c>
      <c r="AJ67" s="6" t="s">
        <v>484</v>
      </c>
      <c r="AK67" s="6" t="s">
        <v>1360</v>
      </c>
      <c r="AL67" s="6" t="s">
        <v>484</v>
      </c>
      <c r="AM67" s="6" t="s">
        <v>484</v>
      </c>
      <c r="AN67" s="6" t="s">
        <v>1361</v>
      </c>
    </row>
    <row r="68" customFormat="false" ht="15" hidden="false" customHeight="false" outlineLevel="0" collapsed="false">
      <c r="A68" s="6" t="s">
        <v>1362</v>
      </c>
      <c r="B68" s="6" t="s">
        <v>374</v>
      </c>
      <c r="C68" s="6" t="s">
        <v>471</v>
      </c>
      <c r="D68" s="6" t="s">
        <v>471</v>
      </c>
      <c r="E68" s="6" t="s">
        <v>472</v>
      </c>
      <c r="F68" s="6" t="s">
        <v>385</v>
      </c>
      <c r="G68" s="6" t="s">
        <v>1363</v>
      </c>
      <c r="H68" s="6" t="s">
        <v>1364</v>
      </c>
      <c r="I68" s="6" t="s">
        <v>1365</v>
      </c>
      <c r="J68" s="6" t="s">
        <v>512</v>
      </c>
      <c r="K68" s="6" t="s">
        <v>129</v>
      </c>
      <c r="L68" s="6" t="s">
        <v>477</v>
      </c>
      <c r="M68" s="6" t="s">
        <v>478</v>
      </c>
      <c r="N68" s="6" t="s">
        <v>1366</v>
      </c>
      <c r="O68" s="6" t="s">
        <v>480</v>
      </c>
      <c r="P68" s="6" t="s">
        <v>477</v>
      </c>
      <c r="Q68" s="6" t="s">
        <v>760</v>
      </c>
      <c r="R68" s="6" t="s">
        <v>1367</v>
      </c>
      <c r="S68" s="6" t="s">
        <v>484</v>
      </c>
      <c r="T68" s="6" t="s">
        <v>1368</v>
      </c>
      <c r="U68" s="6" t="s">
        <v>1369</v>
      </c>
      <c r="V68" s="6" t="s">
        <v>568</v>
      </c>
      <c r="W68" s="6" t="s">
        <v>1370</v>
      </c>
      <c r="X68" s="6" t="s">
        <v>1371</v>
      </c>
      <c r="Y68" s="6" t="s">
        <v>487</v>
      </c>
      <c r="Z68" s="6" t="s">
        <v>477</v>
      </c>
      <c r="AA68" s="6" t="s">
        <v>488</v>
      </c>
      <c r="AB68" s="6" t="s">
        <v>488</v>
      </c>
      <c r="AC68" s="6" t="s">
        <v>488</v>
      </c>
      <c r="AD68" s="6" t="s">
        <v>488</v>
      </c>
      <c r="AE68" s="6" t="s">
        <v>488</v>
      </c>
      <c r="AF68" s="6" t="s">
        <v>488</v>
      </c>
      <c r="AG68" s="6" t="s">
        <v>484</v>
      </c>
      <c r="AH68" s="6" t="s">
        <v>1372</v>
      </c>
      <c r="AI68" s="6" t="s">
        <v>484</v>
      </c>
      <c r="AJ68" s="6" t="s">
        <v>484</v>
      </c>
      <c r="AK68" s="6" t="s">
        <v>1373</v>
      </c>
      <c r="AL68" s="6" t="s">
        <v>484</v>
      </c>
      <c r="AM68" s="6" t="s">
        <v>573</v>
      </c>
      <c r="AN68" s="6" t="s">
        <v>1374</v>
      </c>
    </row>
    <row r="69" customFormat="false" ht="15" hidden="false" customHeight="false" outlineLevel="0" collapsed="false">
      <c r="A69" s="6" t="s">
        <v>1375</v>
      </c>
      <c r="B69" s="6" t="s">
        <v>374</v>
      </c>
      <c r="C69" s="6" t="s">
        <v>471</v>
      </c>
      <c r="D69" s="6" t="s">
        <v>471</v>
      </c>
      <c r="E69" s="6" t="s">
        <v>472</v>
      </c>
      <c r="F69" s="6" t="s">
        <v>386</v>
      </c>
      <c r="G69" s="6" t="s">
        <v>1376</v>
      </c>
      <c r="H69" s="6" t="s">
        <v>1377</v>
      </c>
      <c r="I69" s="6" t="s">
        <v>1378</v>
      </c>
      <c r="J69" s="6" t="s">
        <v>512</v>
      </c>
      <c r="K69" s="6" t="s">
        <v>129</v>
      </c>
      <c r="L69" s="6" t="s">
        <v>477</v>
      </c>
      <c r="M69" s="6" t="s">
        <v>478</v>
      </c>
      <c r="N69" s="6" t="s">
        <v>1379</v>
      </c>
      <c r="O69" s="6" t="s">
        <v>532</v>
      </c>
      <c r="P69" s="6" t="s">
        <v>481</v>
      </c>
      <c r="Q69" s="6" t="s">
        <v>515</v>
      </c>
      <c r="R69" s="6" t="s">
        <v>736</v>
      </c>
      <c r="S69" s="6" t="s">
        <v>484</v>
      </c>
      <c r="T69" s="6" t="s">
        <v>1380</v>
      </c>
      <c r="U69" s="6" t="s">
        <v>1040</v>
      </c>
      <c r="V69" s="6" t="s">
        <v>486</v>
      </c>
      <c r="W69" s="6" t="s">
        <v>1381</v>
      </c>
      <c r="X69" s="6" t="s">
        <v>1382</v>
      </c>
      <c r="Y69" s="6" t="s">
        <v>1383</v>
      </c>
      <c r="Z69" s="6" t="s">
        <v>477</v>
      </c>
      <c r="AA69" s="6" t="s">
        <v>488</v>
      </c>
      <c r="AB69" s="6" t="s">
        <v>488</v>
      </c>
      <c r="AC69" s="6" t="s">
        <v>488</v>
      </c>
      <c r="AD69" s="6" t="s">
        <v>488</v>
      </c>
      <c r="AE69" s="6" t="s">
        <v>488</v>
      </c>
      <c r="AF69" s="6" t="s">
        <v>488</v>
      </c>
      <c r="AG69" s="6" t="s">
        <v>587</v>
      </c>
      <c r="AH69" s="6" t="s">
        <v>1384</v>
      </c>
      <c r="AI69" s="6" t="s">
        <v>573</v>
      </c>
      <c r="AJ69" s="6" t="s">
        <v>573</v>
      </c>
      <c r="AK69" s="6" t="s">
        <v>1136</v>
      </c>
      <c r="AL69" s="6" t="s">
        <v>573</v>
      </c>
      <c r="AM69" s="6" t="s">
        <v>484</v>
      </c>
      <c r="AN69" s="6" t="s">
        <v>1385</v>
      </c>
    </row>
    <row r="70" customFormat="false" ht="15" hidden="false" customHeight="false" outlineLevel="0" collapsed="false">
      <c r="A70" s="6" t="s">
        <v>1386</v>
      </c>
      <c r="B70" s="6" t="s">
        <v>305</v>
      </c>
      <c r="C70" s="6" t="s">
        <v>471</v>
      </c>
      <c r="D70" s="6" t="s">
        <v>471</v>
      </c>
      <c r="E70" s="6" t="s">
        <v>472</v>
      </c>
      <c r="F70" s="6" t="s">
        <v>306</v>
      </c>
      <c r="G70" s="6" t="s">
        <v>1387</v>
      </c>
      <c r="H70" s="6" t="s">
        <v>1388</v>
      </c>
      <c r="I70" s="6" t="s">
        <v>1389</v>
      </c>
      <c r="J70" s="6" t="s">
        <v>512</v>
      </c>
      <c r="K70" s="6" t="s">
        <v>129</v>
      </c>
      <c r="L70" s="6" t="s">
        <v>477</v>
      </c>
      <c r="M70" s="6" t="s">
        <v>478</v>
      </c>
      <c r="N70" s="6" t="s">
        <v>1390</v>
      </c>
      <c r="O70" s="6" t="s">
        <v>480</v>
      </c>
      <c r="P70" s="6" t="s">
        <v>720</v>
      </c>
      <c r="Q70" s="6" t="s">
        <v>760</v>
      </c>
      <c r="R70" s="6" t="s">
        <v>1391</v>
      </c>
      <c r="S70" s="6" t="s">
        <v>1090</v>
      </c>
      <c r="T70" s="6" t="s">
        <v>1392</v>
      </c>
      <c r="U70" s="6" t="s">
        <v>1393</v>
      </c>
      <c r="V70" s="6" t="s">
        <v>539</v>
      </c>
      <c r="W70" s="6" t="s">
        <v>484</v>
      </c>
      <c r="X70" s="6" t="s">
        <v>484</v>
      </c>
      <c r="Y70" s="6" t="s">
        <v>1394</v>
      </c>
      <c r="Z70" s="6" t="s">
        <v>477</v>
      </c>
      <c r="AA70" s="6" t="s">
        <v>488</v>
      </c>
      <c r="AB70" s="6" t="s">
        <v>488</v>
      </c>
      <c r="AC70" s="6" t="s">
        <v>488</v>
      </c>
      <c r="AD70" s="6" t="s">
        <v>488</v>
      </c>
      <c r="AE70" s="6" t="s">
        <v>488</v>
      </c>
      <c r="AF70" s="6" t="s">
        <v>488</v>
      </c>
      <c r="AG70" s="6" t="s">
        <v>484</v>
      </c>
      <c r="AH70" s="6" t="s">
        <v>854</v>
      </c>
      <c r="AI70" s="6" t="s">
        <v>484</v>
      </c>
      <c r="AJ70" s="6" t="s">
        <v>484</v>
      </c>
      <c r="AK70" s="6" t="s">
        <v>484</v>
      </c>
      <c r="AL70" s="6" t="s">
        <v>484</v>
      </c>
      <c r="AM70" s="6" t="s">
        <v>484</v>
      </c>
      <c r="AN70" s="6" t="s">
        <v>1395</v>
      </c>
    </row>
    <row r="71" customFormat="false" ht="15" hidden="false" customHeight="false" outlineLevel="0" collapsed="false">
      <c r="A71" s="6" t="s">
        <v>1396</v>
      </c>
      <c r="B71" s="6" t="s">
        <v>154</v>
      </c>
      <c r="C71" s="6" t="s">
        <v>471</v>
      </c>
      <c r="D71" s="6" t="s">
        <v>471</v>
      </c>
      <c r="E71" s="6" t="s">
        <v>642</v>
      </c>
      <c r="F71" s="6" t="s">
        <v>155</v>
      </c>
      <c r="G71" s="6" t="s">
        <v>1397</v>
      </c>
      <c r="H71" s="6" t="s">
        <v>1398</v>
      </c>
      <c r="I71" s="6" t="s">
        <v>1399</v>
      </c>
      <c r="J71" s="6" t="s">
        <v>530</v>
      </c>
      <c r="K71" s="6" t="s">
        <v>129</v>
      </c>
      <c r="L71" s="6" t="s">
        <v>733</v>
      </c>
      <c r="M71" s="6" t="s">
        <v>478</v>
      </c>
      <c r="N71" s="6" t="s">
        <v>1400</v>
      </c>
      <c r="O71" s="6" t="s">
        <v>480</v>
      </c>
      <c r="P71" s="6" t="s">
        <v>1401</v>
      </c>
      <c r="Q71" s="6" t="s">
        <v>1402</v>
      </c>
      <c r="R71" s="6" t="s">
        <v>1403</v>
      </c>
      <c r="S71" s="6" t="s">
        <v>1404</v>
      </c>
      <c r="T71" s="6" t="s">
        <v>1405</v>
      </c>
      <c r="U71" s="6" t="s">
        <v>1406</v>
      </c>
      <c r="V71" s="6" t="s">
        <v>539</v>
      </c>
      <c r="W71" s="6" t="s">
        <v>1407</v>
      </c>
      <c r="X71" s="6" t="s">
        <v>1408</v>
      </c>
      <c r="Y71" s="6" t="s">
        <v>477</v>
      </c>
      <c r="Z71" s="6" t="s">
        <v>477</v>
      </c>
      <c r="AA71" s="6" t="s">
        <v>488</v>
      </c>
      <c r="AB71" s="6" t="s">
        <v>488</v>
      </c>
      <c r="AC71" s="6" t="s">
        <v>488</v>
      </c>
      <c r="AD71" s="6" t="s">
        <v>488</v>
      </c>
      <c r="AE71" s="6" t="s">
        <v>488</v>
      </c>
      <c r="AF71" s="6" t="s">
        <v>488</v>
      </c>
      <c r="AG71" s="6" t="s">
        <v>484</v>
      </c>
      <c r="AH71" s="6" t="s">
        <v>1409</v>
      </c>
      <c r="AI71" s="6" t="s">
        <v>573</v>
      </c>
      <c r="AJ71" s="6" t="s">
        <v>484</v>
      </c>
      <c r="AK71" s="6" t="s">
        <v>867</v>
      </c>
      <c r="AL71" s="6" t="s">
        <v>484</v>
      </c>
      <c r="AM71" s="6" t="s">
        <v>484</v>
      </c>
      <c r="AN71" s="6" t="s">
        <v>1410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8"/>
    <col collapsed="false" customWidth="true" hidden="false" outlineLevel="0" max="6" min="6" style="0" width="22"/>
    <col collapsed="false" customWidth="true" hidden="false" outlineLevel="0" max="7" min="7" style="0" width="40"/>
    <col collapsed="false" customWidth="true" hidden="false" outlineLevel="0" max="8" min="8" style="0" width="18"/>
    <col collapsed="false" customWidth="true" hidden="false" outlineLevel="0" max="9" min="9" style="0" width="40"/>
    <col collapsed="false" customWidth="true" hidden="false" outlineLevel="0" max="13" min="10" style="0" width="18"/>
    <col collapsed="false" customWidth="true" hidden="false" outlineLevel="0" max="14" min="14" style="0" width="60"/>
    <col collapsed="false" customWidth="true" hidden="false" outlineLevel="0" max="19" min="15" style="0" width="18"/>
    <col collapsed="false" customWidth="true" hidden="false" outlineLevel="0" max="20" min="20" style="0" width="60"/>
    <col collapsed="false" customWidth="true" hidden="false" outlineLevel="0" max="21" min="21" style="0" width="50"/>
    <col collapsed="false" customWidth="true" hidden="false" outlineLevel="0" max="39" min="22" style="0" width="18"/>
    <col collapsed="false" customWidth="true" hidden="false" outlineLevel="0" max="40" min="40" style="0" width="60"/>
  </cols>
  <sheetData>
    <row r="1" customFormat="false" ht="26.85" hidden="false" customHeight="false" outlineLevel="0" collapsed="false">
      <c r="A1" s="5" t="s">
        <v>430</v>
      </c>
      <c r="B1" s="5" t="s">
        <v>431</v>
      </c>
      <c r="C1" s="5" t="s">
        <v>432</v>
      </c>
      <c r="D1" s="5" t="s">
        <v>433</v>
      </c>
      <c r="E1" s="5" t="s">
        <v>434</v>
      </c>
      <c r="F1" s="5" t="s">
        <v>435</v>
      </c>
      <c r="G1" s="5" t="s">
        <v>436</v>
      </c>
      <c r="H1" s="5" t="s">
        <v>437</v>
      </c>
      <c r="I1" s="5" t="s">
        <v>438</v>
      </c>
      <c r="J1" s="5" t="s">
        <v>439</v>
      </c>
      <c r="K1" s="5" t="s">
        <v>440</v>
      </c>
      <c r="L1" s="5" t="s">
        <v>441</v>
      </c>
      <c r="M1" s="5" t="s">
        <v>442</v>
      </c>
      <c r="N1" s="5" t="s">
        <v>443</v>
      </c>
      <c r="O1" s="5" t="s">
        <v>444</v>
      </c>
      <c r="P1" s="5" t="s">
        <v>445</v>
      </c>
      <c r="Q1" s="5" t="s">
        <v>446</v>
      </c>
      <c r="R1" s="5" t="s">
        <v>447</v>
      </c>
      <c r="S1" s="5" t="s">
        <v>448</v>
      </c>
      <c r="T1" s="5" t="s">
        <v>449</v>
      </c>
      <c r="U1" s="5" t="s">
        <v>450</v>
      </c>
      <c r="V1" s="5" t="s">
        <v>451</v>
      </c>
      <c r="W1" s="5" t="s">
        <v>452</v>
      </c>
      <c r="X1" s="5" t="s">
        <v>453</v>
      </c>
      <c r="Y1" s="5" t="s">
        <v>454</v>
      </c>
      <c r="Z1" s="5" t="s">
        <v>455</v>
      </c>
      <c r="AA1" s="5" t="s">
        <v>456</v>
      </c>
      <c r="AB1" s="5" t="s">
        <v>457</v>
      </c>
      <c r="AC1" s="5" t="s">
        <v>458</v>
      </c>
      <c r="AD1" s="5" t="s">
        <v>459</v>
      </c>
      <c r="AE1" s="5" t="s">
        <v>460</v>
      </c>
      <c r="AF1" s="5" t="s">
        <v>461</v>
      </c>
      <c r="AG1" s="5" t="s">
        <v>462</v>
      </c>
      <c r="AH1" s="5" t="s">
        <v>463</v>
      </c>
      <c r="AI1" s="5" t="s">
        <v>464</v>
      </c>
      <c r="AJ1" s="5" t="s">
        <v>465</v>
      </c>
      <c r="AK1" s="5" t="s">
        <v>466</v>
      </c>
      <c r="AL1" s="5" t="s">
        <v>467</v>
      </c>
      <c r="AM1" s="5" t="s">
        <v>468</v>
      </c>
      <c r="AN1" s="5" t="s">
        <v>469</v>
      </c>
    </row>
    <row r="2" customFormat="false" ht="15" hidden="false" customHeight="false" outlineLevel="0" collapsed="false">
      <c r="A2" s="6" t="s">
        <v>1411</v>
      </c>
      <c r="B2" s="6" t="s">
        <v>139</v>
      </c>
      <c r="C2" s="6" t="s">
        <v>471</v>
      </c>
      <c r="D2" s="6" t="s">
        <v>471</v>
      </c>
      <c r="E2" s="6" t="s">
        <v>472</v>
      </c>
      <c r="F2" s="6" t="s">
        <v>140</v>
      </c>
      <c r="G2" s="6" t="s">
        <v>1412</v>
      </c>
      <c r="H2" s="6" t="s">
        <v>1413</v>
      </c>
      <c r="I2" s="6" t="s">
        <v>1414</v>
      </c>
      <c r="J2" s="6" t="s">
        <v>1415</v>
      </c>
      <c r="K2" s="6" t="s">
        <v>1416</v>
      </c>
      <c r="L2" s="6" t="s">
        <v>129</v>
      </c>
      <c r="M2" s="6" t="s">
        <v>478</v>
      </c>
      <c r="N2" s="6" t="s">
        <v>1417</v>
      </c>
      <c r="O2" s="6" t="s">
        <v>480</v>
      </c>
      <c r="P2" s="6" t="s">
        <v>1418</v>
      </c>
      <c r="Q2" s="6" t="s">
        <v>477</v>
      </c>
      <c r="R2" s="6" t="s">
        <v>516</v>
      </c>
      <c r="S2" s="6" t="s">
        <v>516</v>
      </c>
      <c r="T2" s="6" t="s">
        <v>1419</v>
      </c>
      <c r="U2" s="6" t="s">
        <v>1420</v>
      </c>
      <c r="V2" s="6" t="s">
        <v>539</v>
      </c>
      <c r="W2" s="6" t="s">
        <v>1421</v>
      </c>
      <c r="X2" s="6" t="s">
        <v>1422</v>
      </c>
      <c r="Y2" s="6" t="s">
        <v>1423</v>
      </c>
      <c r="Z2" s="6" t="s">
        <v>477</v>
      </c>
      <c r="AA2" s="6" t="s">
        <v>488</v>
      </c>
      <c r="AB2" s="6" t="s">
        <v>488</v>
      </c>
      <c r="AC2" s="6" t="s">
        <v>488</v>
      </c>
      <c r="AD2" s="6" t="s">
        <v>488</v>
      </c>
      <c r="AE2" s="6" t="s">
        <v>488</v>
      </c>
      <c r="AF2" s="6" t="s">
        <v>488</v>
      </c>
      <c r="AG2" s="6" t="s">
        <v>484</v>
      </c>
      <c r="AH2" s="6" t="s">
        <v>484</v>
      </c>
      <c r="AI2" s="6" t="s">
        <v>484</v>
      </c>
      <c r="AJ2" s="6" t="s">
        <v>484</v>
      </c>
      <c r="AK2" s="6" t="s">
        <v>1424</v>
      </c>
      <c r="AL2" s="6" t="s">
        <v>484</v>
      </c>
      <c r="AM2" s="6" t="s">
        <v>484</v>
      </c>
      <c r="AN2" s="6" t="s">
        <v>1425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8"/>
    <col collapsed="false" customWidth="true" hidden="false" outlineLevel="0" max="6" min="6" style="0" width="22"/>
    <col collapsed="false" customWidth="true" hidden="false" outlineLevel="0" max="7" min="7" style="0" width="40"/>
    <col collapsed="false" customWidth="true" hidden="false" outlineLevel="0" max="8" min="8" style="0" width="18"/>
    <col collapsed="false" customWidth="true" hidden="false" outlineLevel="0" max="9" min="9" style="0" width="40"/>
    <col collapsed="false" customWidth="true" hidden="false" outlineLevel="0" max="13" min="10" style="0" width="18"/>
    <col collapsed="false" customWidth="true" hidden="false" outlineLevel="0" max="14" min="14" style="0" width="60"/>
    <col collapsed="false" customWidth="true" hidden="false" outlineLevel="0" max="19" min="15" style="0" width="18"/>
    <col collapsed="false" customWidth="true" hidden="false" outlineLevel="0" max="20" min="20" style="0" width="60"/>
    <col collapsed="false" customWidth="true" hidden="false" outlineLevel="0" max="21" min="21" style="0" width="50"/>
    <col collapsed="false" customWidth="true" hidden="false" outlineLevel="0" max="39" min="22" style="0" width="18"/>
    <col collapsed="false" customWidth="true" hidden="false" outlineLevel="0" max="40" min="40" style="0" width="60"/>
  </cols>
  <sheetData>
    <row r="1" customFormat="false" ht="26.85" hidden="false" customHeight="false" outlineLevel="0" collapsed="false">
      <c r="A1" s="5" t="s">
        <v>430</v>
      </c>
      <c r="B1" s="5" t="s">
        <v>431</v>
      </c>
      <c r="C1" s="5" t="s">
        <v>432</v>
      </c>
      <c r="D1" s="5" t="s">
        <v>433</v>
      </c>
      <c r="E1" s="5" t="s">
        <v>434</v>
      </c>
      <c r="F1" s="5" t="s">
        <v>435</v>
      </c>
      <c r="G1" s="5" t="s">
        <v>436</v>
      </c>
      <c r="H1" s="5" t="s">
        <v>437</v>
      </c>
      <c r="I1" s="5" t="s">
        <v>438</v>
      </c>
      <c r="J1" s="5" t="s">
        <v>439</v>
      </c>
      <c r="K1" s="5" t="s">
        <v>440</v>
      </c>
      <c r="L1" s="5" t="s">
        <v>441</v>
      </c>
      <c r="M1" s="5" t="s">
        <v>442</v>
      </c>
      <c r="N1" s="5" t="s">
        <v>443</v>
      </c>
      <c r="O1" s="5" t="s">
        <v>444</v>
      </c>
      <c r="P1" s="5" t="s">
        <v>445</v>
      </c>
      <c r="Q1" s="5" t="s">
        <v>446</v>
      </c>
      <c r="R1" s="5" t="s">
        <v>447</v>
      </c>
      <c r="S1" s="5" t="s">
        <v>448</v>
      </c>
      <c r="T1" s="5" t="s">
        <v>449</v>
      </c>
      <c r="U1" s="5" t="s">
        <v>450</v>
      </c>
      <c r="V1" s="5" t="s">
        <v>451</v>
      </c>
      <c r="W1" s="5" t="s">
        <v>452</v>
      </c>
      <c r="X1" s="5" t="s">
        <v>453</v>
      </c>
      <c r="Y1" s="5" t="s">
        <v>454</v>
      </c>
      <c r="Z1" s="5" t="s">
        <v>455</v>
      </c>
      <c r="AA1" s="5" t="s">
        <v>456</v>
      </c>
      <c r="AB1" s="5" t="s">
        <v>457</v>
      </c>
      <c r="AC1" s="5" t="s">
        <v>458</v>
      </c>
      <c r="AD1" s="5" t="s">
        <v>459</v>
      </c>
      <c r="AE1" s="5" t="s">
        <v>460</v>
      </c>
      <c r="AF1" s="5" t="s">
        <v>461</v>
      </c>
      <c r="AG1" s="5" t="s">
        <v>462</v>
      </c>
      <c r="AH1" s="5" t="s">
        <v>463</v>
      </c>
      <c r="AI1" s="5" t="s">
        <v>464</v>
      </c>
      <c r="AJ1" s="5" t="s">
        <v>465</v>
      </c>
      <c r="AK1" s="5" t="s">
        <v>466</v>
      </c>
      <c r="AL1" s="5" t="s">
        <v>467</v>
      </c>
      <c r="AM1" s="5" t="s">
        <v>468</v>
      </c>
      <c r="AN1" s="5" t="s">
        <v>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8"/>
    <col collapsed="false" customWidth="true" hidden="false" outlineLevel="0" max="6" min="6" style="0" width="22"/>
    <col collapsed="false" customWidth="true" hidden="false" outlineLevel="0" max="7" min="7" style="0" width="40"/>
    <col collapsed="false" customWidth="true" hidden="false" outlineLevel="0" max="8" min="8" style="0" width="18"/>
    <col collapsed="false" customWidth="true" hidden="false" outlineLevel="0" max="9" min="9" style="0" width="40"/>
    <col collapsed="false" customWidth="true" hidden="false" outlineLevel="0" max="13" min="10" style="0" width="18"/>
    <col collapsed="false" customWidth="true" hidden="false" outlineLevel="0" max="14" min="14" style="0" width="60"/>
    <col collapsed="false" customWidth="true" hidden="false" outlineLevel="0" max="19" min="15" style="0" width="18"/>
    <col collapsed="false" customWidth="true" hidden="false" outlineLevel="0" max="20" min="20" style="0" width="60"/>
    <col collapsed="false" customWidth="true" hidden="false" outlineLevel="0" max="21" min="21" style="0" width="50"/>
    <col collapsed="false" customWidth="true" hidden="false" outlineLevel="0" max="39" min="22" style="0" width="18"/>
    <col collapsed="false" customWidth="true" hidden="false" outlineLevel="0" max="40" min="40" style="0" width="60"/>
  </cols>
  <sheetData>
    <row r="1" customFormat="false" ht="26.85" hidden="false" customHeight="false" outlineLevel="0" collapsed="false">
      <c r="A1" s="5" t="s">
        <v>430</v>
      </c>
      <c r="B1" s="5" t="s">
        <v>431</v>
      </c>
      <c r="C1" s="5" t="s">
        <v>432</v>
      </c>
      <c r="D1" s="5" t="s">
        <v>433</v>
      </c>
      <c r="E1" s="5" t="s">
        <v>434</v>
      </c>
      <c r="F1" s="5" t="s">
        <v>435</v>
      </c>
      <c r="G1" s="5" t="s">
        <v>436</v>
      </c>
      <c r="H1" s="5" t="s">
        <v>437</v>
      </c>
      <c r="I1" s="5" t="s">
        <v>438</v>
      </c>
      <c r="J1" s="5" t="s">
        <v>439</v>
      </c>
      <c r="K1" s="5" t="s">
        <v>440</v>
      </c>
      <c r="L1" s="5" t="s">
        <v>441</v>
      </c>
      <c r="M1" s="5" t="s">
        <v>442</v>
      </c>
      <c r="N1" s="5" t="s">
        <v>443</v>
      </c>
      <c r="O1" s="5" t="s">
        <v>444</v>
      </c>
      <c r="P1" s="5" t="s">
        <v>445</v>
      </c>
      <c r="Q1" s="5" t="s">
        <v>446</v>
      </c>
      <c r="R1" s="5" t="s">
        <v>447</v>
      </c>
      <c r="S1" s="5" t="s">
        <v>448</v>
      </c>
      <c r="T1" s="5" t="s">
        <v>449</v>
      </c>
      <c r="U1" s="5" t="s">
        <v>450</v>
      </c>
      <c r="V1" s="5" t="s">
        <v>451</v>
      </c>
      <c r="W1" s="5" t="s">
        <v>452</v>
      </c>
      <c r="X1" s="5" t="s">
        <v>453</v>
      </c>
      <c r="Y1" s="5" t="s">
        <v>454</v>
      </c>
      <c r="Z1" s="5" t="s">
        <v>455</v>
      </c>
      <c r="AA1" s="5" t="s">
        <v>456</v>
      </c>
      <c r="AB1" s="5" t="s">
        <v>457</v>
      </c>
      <c r="AC1" s="5" t="s">
        <v>458</v>
      </c>
      <c r="AD1" s="5" t="s">
        <v>459</v>
      </c>
      <c r="AE1" s="5" t="s">
        <v>460</v>
      </c>
      <c r="AF1" s="5" t="s">
        <v>461</v>
      </c>
      <c r="AG1" s="5" t="s">
        <v>462</v>
      </c>
      <c r="AH1" s="5" t="s">
        <v>463</v>
      </c>
      <c r="AI1" s="5" t="s">
        <v>464</v>
      </c>
      <c r="AJ1" s="5" t="s">
        <v>465</v>
      </c>
      <c r="AK1" s="5" t="s">
        <v>466</v>
      </c>
      <c r="AL1" s="5" t="s">
        <v>467</v>
      </c>
      <c r="AM1" s="5" t="s">
        <v>468</v>
      </c>
      <c r="AN1" s="5" t="s">
        <v>469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24"/>
    <col collapsed="false" customWidth="true" hidden="false" outlineLevel="0" max="5" min="4" style="0" width="44"/>
    <col collapsed="false" customWidth="true" hidden="false" outlineLevel="0" max="6" min="6" style="0" width="18"/>
    <col collapsed="false" customWidth="true" hidden="false" outlineLevel="0" max="7" min="7" style="0" width="70"/>
    <col collapsed="false" customWidth="true" hidden="false" outlineLevel="0" max="8" min="8" style="0" width="30"/>
    <col collapsed="false" customWidth="true" hidden="false" outlineLevel="0" max="9" min="9" style="0" width="18"/>
  </cols>
  <sheetData>
    <row r="1" customFormat="false" ht="15" hidden="false" customHeight="false" outlineLevel="0" collapsed="false">
      <c r="A1" s="5" t="s">
        <v>430</v>
      </c>
      <c r="B1" s="5" t="s">
        <v>431</v>
      </c>
      <c r="C1" s="5" t="s">
        <v>435</v>
      </c>
      <c r="D1" s="5" t="s">
        <v>436</v>
      </c>
      <c r="E1" s="5" t="s">
        <v>438</v>
      </c>
      <c r="F1" s="5" t="s">
        <v>440</v>
      </c>
      <c r="G1" s="5" t="s">
        <v>1426</v>
      </c>
      <c r="H1" s="5" t="s">
        <v>1427</v>
      </c>
      <c r="I1" s="5" t="s">
        <v>1428</v>
      </c>
    </row>
    <row r="2" customFormat="false" ht="15" hidden="false" customHeight="false" outlineLevel="0" collapsed="false">
      <c r="A2" s="6" t="s">
        <v>1429</v>
      </c>
      <c r="B2" s="6" t="s">
        <v>374</v>
      </c>
      <c r="C2" s="6" t="s">
        <v>387</v>
      </c>
      <c r="D2" s="6" t="s">
        <v>1430</v>
      </c>
      <c r="E2" s="6" t="s">
        <v>1431</v>
      </c>
      <c r="F2" s="6" t="s">
        <v>129</v>
      </c>
      <c r="G2" s="6" t="s">
        <v>1432</v>
      </c>
      <c r="H2" s="6" t="s">
        <v>80</v>
      </c>
      <c r="I2" s="6" t="s">
        <v>1433</v>
      </c>
    </row>
    <row r="3" customFormat="false" ht="15" hidden="false" customHeight="false" outlineLevel="0" collapsed="false">
      <c r="A3" s="6" t="s">
        <v>1434</v>
      </c>
      <c r="B3" s="6" t="s">
        <v>374</v>
      </c>
      <c r="C3" s="6" t="s">
        <v>387</v>
      </c>
      <c r="D3" s="6" t="s">
        <v>1435</v>
      </c>
      <c r="E3" s="6" t="s">
        <v>1436</v>
      </c>
      <c r="F3" s="6" t="s">
        <v>129</v>
      </c>
      <c r="G3" s="6" t="s">
        <v>1437</v>
      </c>
      <c r="H3" s="6" t="s">
        <v>80</v>
      </c>
      <c r="I3" s="6" t="s">
        <v>1433</v>
      </c>
    </row>
    <row r="4" customFormat="false" ht="15" hidden="false" customHeight="false" outlineLevel="0" collapsed="false">
      <c r="A4" s="6" t="s">
        <v>1438</v>
      </c>
      <c r="B4" s="6" t="s">
        <v>374</v>
      </c>
      <c r="C4" s="6" t="s">
        <v>389</v>
      </c>
      <c r="D4" s="6" t="s">
        <v>1439</v>
      </c>
      <c r="E4" s="6" t="s">
        <v>1440</v>
      </c>
      <c r="F4" s="6" t="s">
        <v>129</v>
      </c>
      <c r="G4" s="6" t="s">
        <v>1441</v>
      </c>
      <c r="H4" s="6" t="s">
        <v>80</v>
      </c>
      <c r="I4" s="6" t="s">
        <v>1442</v>
      </c>
    </row>
    <row r="5" customFormat="false" ht="15" hidden="false" customHeight="false" outlineLevel="0" collapsed="false">
      <c r="A5" s="6" t="s">
        <v>1443</v>
      </c>
      <c r="B5" s="6" t="s">
        <v>126</v>
      </c>
      <c r="C5" s="6" t="s">
        <v>127</v>
      </c>
      <c r="D5" s="6" t="s">
        <v>1444</v>
      </c>
      <c r="E5" s="6" t="s">
        <v>1445</v>
      </c>
      <c r="F5" s="6" t="s">
        <v>129</v>
      </c>
      <c r="G5" s="6" t="s">
        <v>1446</v>
      </c>
      <c r="H5" s="6" t="s">
        <v>71</v>
      </c>
      <c r="I5" s="6"/>
    </row>
    <row r="6" customFormat="false" ht="15" hidden="false" customHeight="false" outlineLevel="0" collapsed="false">
      <c r="A6" s="6" t="s">
        <v>1447</v>
      </c>
      <c r="B6" s="6" t="s">
        <v>126</v>
      </c>
      <c r="C6" s="6" t="s">
        <v>127</v>
      </c>
      <c r="D6" s="6" t="s">
        <v>1448</v>
      </c>
      <c r="E6" s="6" t="s">
        <v>1449</v>
      </c>
      <c r="F6" s="6" t="s">
        <v>129</v>
      </c>
      <c r="G6" s="6" t="s">
        <v>1450</v>
      </c>
      <c r="H6" s="6" t="s">
        <v>76</v>
      </c>
      <c r="I6" s="6"/>
    </row>
    <row r="7" customFormat="false" ht="15" hidden="false" customHeight="false" outlineLevel="0" collapsed="false">
      <c r="A7" s="6" t="s">
        <v>1451</v>
      </c>
      <c r="B7" s="6" t="s">
        <v>136</v>
      </c>
      <c r="C7" s="6" t="s">
        <v>886</v>
      </c>
      <c r="D7" s="6" t="s">
        <v>1452</v>
      </c>
      <c r="E7" s="6" t="s">
        <v>1453</v>
      </c>
      <c r="F7" s="6" t="s">
        <v>129</v>
      </c>
      <c r="G7" s="6" t="s">
        <v>1454</v>
      </c>
      <c r="H7" s="6" t="s">
        <v>72</v>
      </c>
      <c r="I7" s="6"/>
    </row>
    <row r="8" customFormat="false" ht="15" hidden="false" customHeight="false" outlineLevel="0" collapsed="false">
      <c r="A8" s="6" t="s">
        <v>1455</v>
      </c>
      <c r="B8" s="6" t="s">
        <v>126</v>
      </c>
      <c r="C8" s="6" t="s">
        <v>127</v>
      </c>
      <c r="D8" s="6" t="s">
        <v>1456</v>
      </c>
      <c r="E8" s="6" t="s">
        <v>1457</v>
      </c>
      <c r="F8" s="6" t="s">
        <v>129</v>
      </c>
      <c r="G8" s="6" t="s">
        <v>1458</v>
      </c>
      <c r="H8" s="6" t="s">
        <v>72</v>
      </c>
      <c r="I8" s="6"/>
    </row>
    <row r="9" customFormat="false" ht="15" hidden="false" customHeight="false" outlineLevel="0" collapsed="false">
      <c r="A9" s="6" t="s">
        <v>1459</v>
      </c>
      <c r="B9" s="6" t="s">
        <v>134</v>
      </c>
      <c r="C9" s="6" t="s">
        <v>135</v>
      </c>
      <c r="D9" s="6" t="s">
        <v>1460</v>
      </c>
      <c r="E9" s="6" t="s">
        <v>1461</v>
      </c>
      <c r="F9" s="6" t="s">
        <v>129</v>
      </c>
      <c r="G9" s="6" t="s">
        <v>1462</v>
      </c>
      <c r="H9" s="6" t="s">
        <v>71</v>
      </c>
      <c r="I9" s="6"/>
    </row>
    <row r="10" customFormat="false" ht="15" hidden="false" customHeight="false" outlineLevel="0" collapsed="false">
      <c r="A10" s="6" t="s">
        <v>1463</v>
      </c>
      <c r="B10" s="6" t="s">
        <v>134</v>
      </c>
      <c r="C10" s="6" t="s">
        <v>135</v>
      </c>
      <c r="D10" s="6" t="s">
        <v>1464</v>
      </c>
      <c r="E10" s="6" t="s">
        <v>1465</v>
      </c>
      <c r="F10" s="6" t="s">
        <v>129</v>
      </c>
      <c r="G10" s="6" t="s">
        <v>1466</v>
      </c>
      <c r="H10" s="6" t="s">
        <v>71</v>
      </c>
      <c r="I10" s="6"/>
    </row>
    <row r="11" customFormat="false" ht="15" hidden="false" customHeight="false" outlineLevel="0" collapsed="false">
      <c r="A11" s="6" t="s">
        <v>1467</v>
      </c>
      <c r="B11" s="6" t="s">
        <v>146</v>
      </c>
      <c r="C11" s="6" t="s">
        <v>147</v>
      </c>
      <c r="D11" s="6" t="s">
        <v>1468</v>
      </c>
      <c r="E11" s="6" t="s">
        <v>1469</v>
      </c>
      <c r="F11" s="6" t="s">
        <v>129</v>
      </c>
      <c r="G11" s="6" t="s">
        <v>1470</v>
      </c>
      <c r="H11" s="6" t="s">
        <v>71</v>
      </c>
      <c r="I11" s="6"/>
    </row>
    <row r="12" customFormat="false" ht="15" hidden="false" customHeight="false" outlineLevel="0" collapsed="false">
      <c r="A12" s="6" t="s">
        <v>1471</v>
      </c>
      <c r="B12" s="6" t="s">
        <v>139</v>
      </c>
      <c r="C12" s="6" t="s">
        <v>140</v>
      </c>
      <c r="D12" s="6" t="s">
        <v>1472</v>
      </c>
      <c r="E12" s="6" t="s">
        <v>1473</v>
      </c>
      <c r="F12" s="6" t="s">
        <v>129</v>
      </c>
      <c r="G12" s="6" t="s">
        <v>1474</v>
      </c>
      <c r="H12" s="6" t="s">
        <v>79</v>
      </c>
      <c r="I12" s="6"/>
    </row>
    <row r="13" customFormat="false" ht="15" hidden="false" customHeight="false" outlineLevel="0" collapsed="false">
      <c r="A13" s="6" t="s">
        <v>1475</v>
      </c>
      <c r="B13" s="6" t="s">
        <v>131</v>
      </c>
      <c r="C13" s="6" t="s">
        <v>132</v>
      </c>
      <c r="D13" s="6" t="s">
        <v>1476</v>
      </c>
      <c r="E13" s="6" t="s">
        <v>1477</v>
      </c>
      <c r="F13" s="6" t="s">
        <v>129</v>
      </c>
      <c r="G13" s="6" t="s">
        <v>1478</v>
      </c>
      <c r="H13" s="6" t="s">
        <v>71</v>
      </c>
      <c r="I13" s="6"/>
    </row>
    <row r="14" customFormat="false" ht="15" hidden="false" customHeight="false" outlineLevel="0" collapsed="false">
      <c r="A14" s="6" t="s">
        <v>1479</v>
      </c>
      <c r="B14" s="6" t="s">
        <v>149</v>
      </c>
      <c r="C14" s="6" t="s">
        <v>150</v>
      </c>
      <c r="D14" s="6" t="s">
        <v>1480</v>
      </c>
      <c r="E14" s="6" t="s">
        <v>1481</v>
      </c>
      <c r="F14" s="6" t="s">
        <v>129</v>
      </c>
      <c r="G14" s="6" t="s">
        <v>1482</v>
      </c>
      <c r="H14" s="6" t="s">
        <v>71</v>
      </c>
      <c r="I14" s="6"/>
    </row>
    <row r="15" customFormat="false" ht="15" hidden="false" customHeight="false" outlineLevel="0" collapsed="false">
      <c r="A15" s="6" t="s">
        <v>1483</v>
      </c>
      <c r="B15" s="6" t="s">
        <v>154</v>
      </c>
      <c r="C15" s="6" t="s">
        <v>155</v>
      </c>
      <c r="D15" s="6" t="s">
        <v>1484</v>
      </c>
      <c r="E15" s="6" t="s">
        <v>1485</v>
      </c>
      <c r="F15" s="6" t="s">
        <v>129</v>
      </c>
      <c r="G15" s="6" t="s">
        <v>1486</v>
      </c>
      <c r="H15" s="6" t="s">
        <v>74</v>
      </c>
      <c r="I15" s="6"/>
    </row>
    <row r="16" customFormat="false" ht="15" hidden="false" customHeight="false" outlineLevel="0" collapsed="false">
      <c r="A16" s="6" t="s">
        <v>1487</v>
      </c>
      <c r="B16" s="6" t="s">
        <v>154</v>
      </c>
      <c r="C16" s="6" t="s">
        <v>155</v>
      </c>
      <c r="D16" s="6" t="s">
        <v>1488</v>
      </c>
      <c r="E16" s="6" t="s">
        <v>1489</v>
      </c>
      <c r="F16" s="6" t="s">
        <v>129</v>
      </c>
      <c r="G16" s="6" t="s">
        <v>1490</v>
      </c>
      <c r="H16" s="6" t="s">
        <v>72</v>
      </c>
      <c r="I16" s="6"/>
    </row>
    <row r="17" customFormat="false" ht="15" hidden="false" customHeight="false" outlineLevel="0" collapsed="false">
      <c r="A17" s="6" t="s">
        <v>1491</v>
      </c>
      <c r="B17" s="6" t="s">
        <v>156</v>
      </c>
      <c r="C17" s="6" t="s">
        <v>157</v>
      </c>
      <c r="D17" s="6" t="s">
        <v>1492</v>
      </c>
      <c r="E17" s="6" t="s">
        <v>1493</v>
      </c>
      <c r="F17" s="6" t="s">
        <v>129</v>
      </c>
      <c r="G17" s="6" t="s">
        <v>1494</v>
      </c>
      <c r="H17" s="6" t="s">
        <v>71</v>
      </c>
      <c r="I17" s="6"/>
    </row>
    <row r="18" customFormat="false" ht="15" hidden="false" customHeight="false" outlineLevel="0" collapsed="false">
      <c r="A18" s="6" t="s">
        <v>1495</v>
      </c>
      <c r="B18" s="6" t="s">
        <v>151</v>
      </c>
      <c r="C18" s="6" t="s">
        <v>152</v>
      </c>
      <c r="D18" s="6" t="s">
        <v>1496</v>
      </c>
      <c r="E18" s="6" t="s">
        <v>1497</v>
      </c>
      <c r="F18" s="6" t="s">
        <v>129</v>
      </c>
      <c r="G18" s="6" t="s">
        <v>1498</v>
      </c>
      <c r="H18" s="6" t="s">
        <v>71</v>
      </c>
      <c r="I18" s="6"/>
    </row>
    <row r="19" customFormat="false" ht="15" hidden="false" customHeight="false" outlineLevel="0" collapsed="false">
      <c r="A19" s="6" t="s">
        <v>1499</v>
      </c>
      <c r="B19" s="6" t="s">
        <v>171</v>
      </c>
      <c r="C19" s="6" t="s">
        <v>172</v>
      </c>
      <c r="D19" s="6" t="s">
        <v>1500</v>
      </c>
      <c r="E19" s="6" t="s">
        <v>1501</v>
      </c>
      <c r="F19" s="6" t="s">
        <v>129</v>
      </c>
      <c r="G19" s="6" t="s">
        <v>1502</v>
      </c>
      <c r="H19" s="6" t="s">
        <v>71</v>
      </c>
      <c r="I19" s="6"/>
    </row>
    <row r="20" customFormat="false" ht="15" hidden="false" customHeight="false" outlineLevel="0" collapsed="false">
      <c r="A20" s="6" t="s">
        <v>1503</v>
      </c>
      <c r="B20" s="6" t="s">
        <v>166</v>
      </c>
      <c r="C20" s="6" t="s">
        <v>167</v>
      </c>
      <c r="D20" s="6" t="s">
        <v>1504</v>
      </c>
      <c r="E20" s="6" t="s">
        <v>1505</v>
      </c>
      <c r="F20" s="6" t="s">
        <v>129</v>
      </c>
      <c r="G20" s="6" t="s">
        <v>1506</v>
      </c>
      <c r="H20" s="6" t="s">
        <v>72</v>
      </c>
      <c r="I20" s="6"/>
    </row>
    <row r="21" customFormat="false" ht="15" hidden="false" customHeight="false" outlineLevel="0" collapsed="false">
      <c r="A21" s="6" t="s">
        <v>1507</v>
      </c>
      <c r="B21" s="6" t="s">
        <v>160</v>
      </c>
      <c r="C21" s="6" t="s">
        <v>161</v>
      </c>
      <c r="D21" s="6" t="s">
        <v>1508</v>
      </c>
      <c r="E21" s="6" t="s">
        <v>1509</v>
      </c>
      <c r="F21" s="6" t="s">
        <v>129</v>
      </c>
      <c r="G21" s="6" t="s">
        <v>1510</v>
      </c>
      <c r="H21" s="6" t="s">
        <v>71</v>
      </c>
      <c r="I21" s="6"/>
    </row>
    <row r="22" customFormat="false" ht="15" hidden="false" customHeight="false" outlineLevel="0" collapsed="false">
      <c r="A22" s="6" t="s">
        <v>1511</v>
      </c>
      <c r="B22" s="6" t="s">
        <v>169</v>
      </c>
      <c r="C22" s="6" t="s">
        <v>170</v>
      </c>
      <c r="D22" s="6" t="s">
        <v>1512</v>
      </c>
      <c r="E22" s="6" t="s">
        <v>1513</v>
      </c>
      <c r="F22" s="6" t="s">
        <v>129</v>
      </c>
      <c r="G22" s="6" t="s">
        <v>1514</v>
      </c>
      <c r="H22" s="6" t="s">
        <v>71</v>
      </c>
      <c r="I22" s="6"/>
    </row>
    <row r="23" customFormat="false" ht="15" hidden="false" customHeight="false" outlineLevel="0" collapsed="false">
      <c r="A23" s="6" t="s">
        <v>1515</v>
      </c>
      <c r="B23" s="6" t="s">
        <v>374</v>
      </c>
      <c r="C23" s="6" t="s">
        <v>390</v>
      </c>
      <c r="D23" s="6" t="s">
        <v>1516</v>
      </c>
      <c r="E23" s="6" t="s">
        <v>1517</v>
      </c>
      <c r="F23" s="6" t="s">
        <v>129</v>
      </c>
      <c r="G23" s="6" t="s">
        <v>1518</v>
      </c>
      <c r="H23" s="6" t="s">
        <v>71</v>
      </c>
      <c r="I23" s="6" t="s">
        <v>1519</v>
      </c>
    </row>
    <row r="24" customFormat="false" ht="15" hidden="false" customHeight="false" outlineLevel="0" collapsed="false">
      <c r="A24" s="6" t="s">
        <v>1520</v>
      </c>
      <c r="B24" s="6" t="s">
        <v>173</v>
      </c>
      <c r="C24" s="6" t="s">
        <v>174</v>
      </c>
      <c r="D24" s="6" t="s">
        <v>1521</v>
      </c>
      <c r="E24" s="6" t="s">
        <v>1522</v>
      </c>
      <c r="F24" s="6" t="s">
        <v>129</v>
      </c>
      <c r="G24" s="6" t="s">
        <v>1523</v>
      </c>
      <c r="H24" s="6" t="s">
        <v>71</v>
      </c>
      <c r="I24" s="6"/>
    </row>
    <row r="25" customFormat="false" ht="15" hidden="false" customHeight="false" outlineLevel="0" collapsed="false">
      <c r="A25" s="6" t="s">
        <v>1524</v>
      </c>
      <c r="B25" s="6" t="s">
        <v>163</v>
      </c>
      <c r="C25" s="6" t="s">
        <v>164</v>
      </c>
      <c r="D25" s="6" t="s">
        <v>1525</v>
      </c>
      <c r="E25" s="6" t="s">
        <v>1526</v>
      </c>
      <c r="F25" s="6" t="s">
        <v>129</v>
      </c>
      <c r="G25" s="6" t="s">
        <v>1527</v>
      </c>
      <c r="H25" s="6" t="s">
        <v>79</v>
      </c>
      <c r="I25" s="6"/>
    </row>
    <row r="26" customFormat="false" ht="15" hidden="false" customHeight="false" outlineLevel="0" collapsed="false">
      <c r="A26" s="6" t="s">
        <v>1528</v>
      </c>
      <c r="B26" s="6" t="s">
        <v>179</v>
      </c>
      <c r="C26" s="6" t="s">
        <v>180</v>
      </c>
      <c r="D26" s="6" t="s">
        <v>1529</v>
      </c>
      <c r="E26" s="6" t="s">
        <v>1530</v>
      </c>
      <c r="F26" s="6" t="s">
        <v>129</v>
      </c>
      <c r="G26" s="6" t="s">
        <v>1531</v>
      </c>
      <c r="H26" s="6" t="s">
        <v>72</v>
      </c>
      <c r="I26" s="6"/>
    </row>
    <row r="27" customFormat="false" ht="15" hidden="false" customHeight="false" outlineLevel="0" collapsed="false">
      <c r="A27" s="6" t="s">
        <v>1532</v>
      </c>
      <c r="B27" s="6" t="s">
        <v>179</v>
      </c>
      <c r="C27" s="6" t="s">
        <v>180</v>
      </c>
      <c r="D27" s="6" t="s">
        <v>1533</v>
      </c>
      <c r="E27" s="6" t="s">
        <v>1534</v>
      </c>
      <c r="F27" s="6" t="s">
        <v>129</v>
      </c>
      <c r="G27" s="6" t="s">
        <v>1535</v>
      </c>
      <c r="H27" s="6" t="s">
        <v>79</v>
      </c>
      <c r="I27" s="6"/>
    </row>
    <row r="28" customFormat="false" ht="15" hidden="false" customHeight="false" outlineLevel="0" collapsed="false">
      <c r="A28" s="6" t="s">
        <v>1536</v>
      </c>
      <c r="B28" s="6" t="s">
        <v>163</v>
      </c>
      <c r="C28" s="6" t="s">
        <v>164</v>
      </c>
      <c r="D28" s="6" t="s">
        <v>1537</v>
      </c>
      <c r="E28" s="6" t="s">
        <v>1538</v>
      </c>
      <c r="F28" s="6" t="s">
        <v>129</v>
      </c>
      <c r="G28" s="6" t="s">
        <v>1539</v>
      </c>
      <c r="H28" s="6" t="s">
        <v>71</v>
      </c>
      <c r="I28" s="6"/>
    </row>
    <row r="29" customFormat="false" ht="15" hidden="false" customHeight="false" outlineLevel="0" collapsed="false">
      <c r="A29" s="6" t="s">
        <v>1540</v>
      </c>
      <c r="B29" s="6" t="s">
        <v>179</v>
      </c>
      <c r="C29" s="6" t="s">
        <v>180</v>
      </c>
      <c r="D29" s="6" t="s">
        <v>1541</v>
      </c>
      <c r="E29" s="6" t="s">
        <v>1542</v>
      </c>
      <c r="F29" s="6" t="s">
        <v>129</v>
      </c>
      <c r="G29" s="6" t="s">
        <v>1543</v>
      </c>
      <c r="H29" s="6" t="s">
        <v>73</v>
      </c>
      <c r="I29" s="6"/>
    </row>
    <row r="30" customFormat="false" ht="15" hidden="false" customHeight="false" outlineLevel="0" collapsed="false">
      <c r="A30" s="6" t="s">
        <v>1544</v>
      </c>
      <c r="B30" s="6" t="s">
        <v>179</v>
      </c>
      <c r="C30" s="6" t="s">
        <v>180</v>
      </c>
      <c r="D30" s="6" t="s">
        <v>1545</v>
      </c>
      <c r="E30" s="6" t="s">
        <v>1546</v>
      </c>
      <c r="F30" s="6" t="s">
        <v>129</v>
      </c>
      <c r="G30" s="6" t="s">
        <v>1543</v>
      </c>
      <c r="H30" s="6" t="s">
        <v>73</v>
      </c>
      <c r="I30" s="6"/>
    </row>
    <row r="31" customFormat="false" ht="15" hidden="false" customHeight="false" outlineLevel="0" collapsed="false">
      <c r="A31" s="6" t="s">
        <v>1547</v>
      </c>
      <c r="B31" s="6" t="s">
        <v>184</v>
      </c>
      <c r="C31" s="6" t="s">
        <v>185</v>
      </c>
      <c r="D31" s="6" t="s">
        <v>1548</v>
      </c>
      <c r="E31" s="6" t="s">
        <v>1549</v>
      </c>
      <c r="F31" s="6" t="s">
        <v>129</v>
      </c>
      <c r="G31" s="6" t="s">
        <v>1550</v>
      </c>
      <c r="H31" s="6" t="s">
        <v>79</v>
      </c>
      <c r="I31" s="6"/>
    </row>
    <row r="32" customFormat="false" ht="15" hidden="false" customHeight="false" outlineLevel="0" collapsed="false">
      <c r="A32" s="6" t="s">
        <v>1551</v>
      </c>
      <c r="B32" s="6" t="s">
        <v>192</v>
      </c>
      <c r="C32" s="6" t="s">
        <v>193</v>
      </c>
      <c r="D32" s="6" t="s">
        <v>1552</v>
      </c>
      <c r="E32" s="6" t="s">
        <v>1553</v>
      </c>
      <c r="F32" s="6" t="s">
        <v>129</v>
      </c>
      <c r="G32" s="6" t="s">
        <v>1550</v>
      </c>
      <c r="H32" s="6" t="s">
        <v>79</v>
      </c>
      <c r="I32" s="6"/>
    </row>
    <row r="33" customFormat="false" ht="15" hidden="false" customHeight="false" outlineLevel="0" collapsed="false">
      <c r="A33" s="6" t="s">
        <v>1554</v>
      </c>
      <c r="B33" s="6" t="s">
        <v>146</v>
      </c>
      <c r="C33" s="6" t="s">
        <v>147</v>
      </c>
      <c r="D33" s="6" t="s">
        <v>1555</v>
      </c>
      <c r="E33" s="6" t="s">
        <v>1556</v>
      </c>
      <c r="F33" s="6" t="s">
        <v>129</v>
      </c>
      <c r="G33" s="6" t="s">
        <v>1557</v>
      </c>
      <c r="H33" s="6" t="s">
        <v>71</v>
      </c>
      <c r="I33" s="6"/>
    </row>
    <row r="34" customFormat="false" ht="15" hidden="false" customHeight="false" outlineLevel="0" collapsed="false">
      <c r="A34" s="6" t="s">
        <v>1558</v>
      </c>
      <c r="B34" s="6" t="s">
        <v>200</v>
      </c>
      <c r="C34" s="6" t="s">
        <v>201</v>
      </c>
      <c r="D34" s="6" t="s">
        <v>1559</v>
      </c>
      <c r="E34" s="6" t="s">
        <v>1560</v>
      </c>
      <c r="F34" s="6" t="s">
        <v>129</v>
      </c>
      <c r="G34" s="6" t="s">
        <v>1561</v>
      </c>
      <c r="H34" s="6" t="s">
        <v>75</v>
      </c>
      <c r="I34" s="6"/>
    </row>
    <row r="35" customFormat="false" ht="15" hidden="false" customHeight="false" outlineLevel="0" collapsed="false">
      <c r="A35" s="6" t="s">
        <v>1562</v>
      </c>
      <c r="B35" s="6" t="s">
        <v>216</v>
      </c>
      <c r="C35" s="6" t="s">
        <v>217</v>
      </c>
      <c r="D35" s="6" t="s">
        <v>1563</v>
      </c>
      <c r="E35" s="6" t="s">
        <v>1564</v>
      </c>
      <c r="F35" s="6" t="s">
        <v>129</v>
      </c>
      <c r="G35" s="6" t="s">
        <v>1565</v>
      </c>
      <c r="H35" s="6" t="s">
        <v>71</v>
      </c>
      <c r="I35" s="6"/>
    </row>
    <row r="36" customFormat="false" ht="15" hidden="false" customHeight="false" outlineLevel="0" collapsed="false">
      <c r="A36" s="6" t="s">
        <v>1566</v>
      </c>
      <c r="B36" s="6" t="s">
        <v>216</v>
      </c>
      <c r="C36" s="6" t="s">
        <v>217</v>
      </c>
      <c r="D36" s="6" t="s">
        <v>1567</v>
      </c>
      <c r="E36" s="6" t="s">
        <v>1568</v>
      </c>
      <c r="F36" s="6" t="s">
        <v>129</v>
      </c>
      <c r="G36" s="6" t="s">
        <v>1569</v>
      </c>
      <c r="H36" s="6" t="s">
        <v>79</v>
      </c>
      <c r="I36" s="6"/>
    </row>
    <row r="37" customFormat="false" ht="15" hidden="false" customHeight="false" outlineLevel="0" collapsed="false">
      <c r="A37" s="6" t="s">
        <v>1570</v>
      </c>
      <c r="B37" s="6" t="s">
        <v>206</v>
      </c>
      <c r="C37" s="6" t="s">
        <v>207</v>
      </c>
      <c r="D37" s="6" t="s">
        <v>1571</v>
      </c>
      <c r="E37" s="6" t="s">
        <v>1572</v>
      </c>
      <c r="F37" s="6" t="s">
        <v>129</v>
      </c>
      <c r="G37" s="6" t="s">
        <v>1573</v>
      </c>
      <c r="H37" s="6" t="s">
        <v>73</v>
      </c>
      <c r="I37" s="6"/>
    </row>
    <row r="38" customFormat="false" ht="15" hidden="false" customHeight="false" outlineLevel="0" collapsed="false">
      <c r="A38" s="6" t="s">
        <v>1574</v>
      </c>
      <c r="B38" s="6" t="s">
        <v>194</v>
      </c>
      <c r="C38" s="6" t="s">
        <v>195</v>
      </c>
      <c r="D38" s="6" t="s">
        <v>1575</v>
      </c>
      <c r="E38" s="6" t="s">
        <v>1576</v>
      </c>
      <c r="F38" s="6" t="s">
        <v>129</v>
      </c>
      <c r="G38" s="6" t="s">
        <v>1577</v>
      </c>
      <c r="H38" s="6" t="s">
        <v>71</v>
      </c>
      <c r="I38" s="6"/>
    </row>
    <row r="39" customFormat="false" ht="15" hidden="false" customHeight="false" outlineLevel="0" collapsed="false">
      <c r="A39" s="6" t="s">
        <v>1578</v>
      </c>
      <c r="B39" s="6" t="s">
        <v>203</v>
      </c>
      <c r="C39" s="6" t="s">
        <v>204</v>
      </c>
      <c r="D39" s="6" t="s">
        <v>1579</v>
      </c>
      <c r="E39" s="6" t="s">
        <v>1580</v>
      </c>
      <c r="F39" s="6" t="s">
        <v>129</v>
      </c>
      <c r="G39" s="6" t="s">
        <v>1550</v>
      </c>
      <c r="H39" s="6" t="s">
        <v>79</v>
      </c>
      <c r="I39" s="6"/>
    </row>
    <row r="40" customFormat="false" ht="15" hidden="false" customHeight="false" outlineLevel="0" collapsed="false">
      <c r="A40" s="6" t="s">
        <v>1581</v>
      </c>
      <c r="B40" s="6" t="s">
        <v>222</v>
      </c>
      <c r="C40" s="6" t="s">
        <v>223</v>
      </c>
      <c r="D40" s="6" t="s">
        <v>1582</v>
      </c>
      <c r="E40" s="6" t="s">
        <v>1583</v>
      </c>
      <c r="F40" s="6" t="s">
        <v>129</v>
      </c>
      <c r="G40" s="6" t="s">
        <v>1584</v>
      </c>
      <c r="H40" s="6" t="s">
        <v>76</v>
      </c>
      <c r="I40" s="6"/>
    </row>
    <row r="41" customFormat="false" ht="15" hidden="false" customHeight="false" outlineLevel="0" collapsed="false">
      <c r="A41" s="6" t="s">
        <v>1585</v>
      </c>
      <c r="B41" s="6" t="s">
        <v>222</v>
      </c>
      <c r="C41" s="6" t="s">
        <v>223</v>
      </c>
      <c r="D41" s="6" t="s">
        <v>1586</v>
      </c>
      <c r="E41" s="6" t="s">
        <v>1587</v>
      </c>
      <c r="F41" s="6" t="s">
        <v>129</v>
      </c>
      <c r="G41" s="6" t="s">
        <v>1588</v>
      </c>
      <c r="H41" s="6" t="s">
        <v>78</v>
      </c>
      <c r="I41" s="6"/>
    </row>
    <row r="42" customFormat="false" ht="15" hidden="false" customHeight="false" outlineLevel="0" collapsed="false">
      <c r="A42" s="6" t="s">
        <v>1589</v>
      </c>
      <c r="B42" s="6" t="s">
        <v>232</v>
      </c>
      <c r="C42" s="6" t="s">
        <v>233</v>
      </c>
      <c r="D42" s="6" t="s">
        <v>1590</v>
      </c>
      <c r="E42" s="6" t="s">
        <v>1591</v>
      </c>
      <c r="F42" s="6" t="s">
        <v>129</v>
      </c>
      <c r="G42" s="6" t="s">
        <v>1592</v>
      </c>
      <c r="H42" s="6" t="s">
        <v>72</v>
      </c>
      <c r="I42" s="6"/>
    </row>
    <row r="43" customFormat="false" ht="15" hidden="false" customHeight="false" outlineLevel="0" collapsed="false">
      <c r="A43" s="6" t="s">
        <v>1593</v>
      </c>
      <c r="B43" s="6" t="s">
        <v>219</v>
      </c>
      <c r="C43" s="6" t="s">
        <v>220</v>
      </c>
      <c r="D43" s="6" t="s">
        <v>1594</v>
      </c>
      <c r="E43" s="6" t="s">
        <v>1595</v>
      </c>
      <c r="F43" s="6" t="s">
        <v>129</v>
      </c>
      <c r="G43" s="6" t="s">
        <v>1535</v>
      </c>
      <c r="H43" s="6" t="s">
        <v>79</v>
      </c>
      <c r="I43" s="6"/>
    </row>
    <row r="44" customFormat="false" ht="15" hidden="false" customHeight="false" outlineLevel="0" collapsed="false">
      <c r="A44" s="6" t="s">
        <v>1596</v>
      </c>
      <c r="B44" s="6" t="s">
        <v>158</v>
      </c>
      <c r="C44" s="6" t="s">
        <v>159</v>
      </c>
      <c r="D44" s="6" t="s">
        <v>1597</v>
      </c>
      <c r="E44" s="6" t="s">
        <v>1598</v>
      </c>
      <c r="F44" s="6" t="s">
        <v>129</v>
      </c>
      <c r="G44" s="6" t="s">
        <v>1599</v>
      </c>
      <c r="H44" s="6" t="s">
        <v>75</v>
      </c>
      <c r="I44" s="6"/>
    </row>
    <row r="45" customFormat="false" ht="15" hidden="false" customHeight="false" outlineLevel="0" collapsed="false">
      <c r="A45" s="6" t="s">
        <v>1600</v>
      </c>
      <c r="B45" s="6" t="s">
        <v>374</v>
      </c>
      <c r="C45" s="6" t="s">
        <v>391</v>
      </c>
      <c r="D45" s="6" t="s">
        <v>1601</v>
      </c>
      <c r="E45" s="6" t="s">
        <v>1602</v>
      </c>
      <c r="F45" s="6" t="s">
        <v>129</v>
      </c>
      <c r="G45" s="6" t="s">
        <v>1603</v>
      </c>
      <c r="H45" s="6" t="s">
        <v>73</v>
      </c>
      <c r="I45" s="6"/>
    </row>
    <row r="46" customFormat="false" ht="15" hidden="false" customHeight="false" outlineLevel="0" collapsed="false">
      <c r="A46" s="6" t="s">
        <v>1604</v>
      </c>
      <c r="B46" s="6" t="s">
        <v>374</v>
      </c>
      <c r="C46" s="6" t="s">
        <v>392</v>
      </c>
      <c r="D46" s="6" t="s">
        <v>1605</v>
      </c>
      <c r="E46" s="6" t="s">
        <v>1606</v>
      </c>
      <c r="F46" s="6" t="s">
        <v>129</v>
      </c>
      <c r="G46" s="6" t="s">
        <v>1607</v>
      </c>
      <c r="H46" s="6" t="s">
        <v>77</v>
      </c>
      <c r="I46" s="6"/>
    </row>
    <row r="47" customFormat="false" ht="15" hidden="false" customHeight="false" outlineLevel="0" collapsed="false">
      <c r="A47" s="6" t="s">
        <v>1608</v>
      </c>
      <c r="B47" s="6" t="s">
        <v>323</v>
      </c>
      <c r="C47" s="6" t="s">
        <v>324</v>
      </c>
      <c r="D47" s="6" t="s">
        <v>1609</v>
      </c>
      <c r="E47" s="6" t="s">
        <v>1610</v>
      </c>
      <c r="F47" s="6" t="s">
        <v>129</v>
      </c>
      <c r="G47" s="6" t="s">
        <v>1611</v>
      </c>
      <c r="H47" s="6" t="s">
        <v>71</v>
      </c>
      <c r="I47" s="6"/>
    </row>
    <row r="48" customFormat="false" ht="15" hidden="false" customHeight="false" outlineLevel="0" collapsed="false">
      <c r="A48" s="6" t="s">
        <v>1612</v>
      </c>
      <c r="B48" s="6" t="s">
        <v>305</v>
      </c>
      <c r="C48" s="6" t="s">
        <v>306</v>
      </c>
      <c r="D48" s="6" t="s">
        <v>1613</v>
      </c>
      <c r="E48" s="6" t="s">
        <v>1614</v>
      </c>
      <c r="F48" s="6" t="s">
        <v>129</v>
      </c>
      <c r="G48" s="6" t="s">
        <v>1615</v>
      </c>
      <c r="H48" s="6" t="s">
        <v>71</v>
      </c>
      <c r="I48" s="6"/>
    </row>
    <row r="49" customFormat="false" ht="15" hidden="false" customHeight="false" outlineLevel="0" collapsed="false">
      <c r="A49" s="6" t="s">
        <v>1616</v>
      </c>
      <c r="B49" s="6" t="s">
        <v>305</v>
      </c>
      <c r="C49" s="6" t="s">
        <v>306</v>
      </c>
      <c r="D49" s="6" t="s">
        <v>1617</v>
      </c>
      <c r="E49" s="6" t="s">
        <v>1618</v>
      </c>
      <c r="F49" s="6" t="s">
        <v>129</v>
      </c>
      <c r="G49" s="6" t="s">
        <v>1619</v>
      </c>
      <c r="H49" s="6" t="s">
        <v>75</v>
      </c>
      <c r="I49" s="6"/>
    </row>
    <row r="50" customFormat="false" ht="15" hidden="false" customHeight="false" outlineLevel="0" collapsed="false">
      <c r="A50" s="6" t="s">
        <v>1620</v>
      </c>
      <c r="B50" s="6" t="s">
        <v>272</v>
      </c>
      <c r="C50" s="6" t="s">
        <v>273</v>
      </c>
      <c r="D50" s="6" t="s">
        <v>1621</v>
      </c>
      <c r="E50" s="6" t="s">
        <v>1622</v>
      </c>
      <c r="F50" s="6" t="s">
        <v>129</v>
      </c>
      <c r="G50" s="6" t="s">
        <v>1623</v>
      </c>
      <c r="H50" s="6" t="s">
        <v>71</v>
      </c>
      <c r="I50" s="6"/>
    </row>
    <row r="51" customFormat="false" ht="15" hidden="false" customHeight="false" outlineLevel="0" collapsed="false">
      <c r="A51" s="6" t="s">
        <v>1624</v>
      </c>
      <c r="B51" s="6" t="s">
        <v>272</v>
      </c>
      <c r="C51" s="6" t="s">
        <v>273</v>
      </c>
      <c r="D51" s="6" t="s">
        <v>1625</v>
      </c>
      <c r="E51" s="6" t="s">
        <v>1626</v>
      </c>
      <c r="F51" s="6" t="s">
        <v>129</v>
      </c>
      <c r="G51" s="6" t="s">
        <v>1627</v>
      </c>
      <c r="H51" s="6" t="s">
        <v>73</v>
      </c>
      <c r="I51" s="6"/>
    </row>
    <row r="52" customFormat="false" ht="15" hidden="false" customHeight="false" outlineLevel="0" collapsed="false">
      <c r="A52" s="6" t="s">
        <v>1628</v>
      </c>
      <c r="B52" s="6" t="s">
        <v>274</v>
      </c>
      <c r="C52" s="6" t="s">
        <v>275</v>
      </c>
      <c r="D52" s="6" t="s">
        <v>1629</v>
      </c>
      <c r="E52" s="6" t="s">
        <v>1630</v>
      </c>
      <c r="F52" s="6" t="s">
        <v>129</v>
      </c>
      <c r="G52" s="6" t="s">
        <v>1631</v>
      </c>
      <c r="H52" s="6" t="s">
        <v>71</v>
      </c>
      <c r="I52" s="6"/>
    </row>
    <row r="53" customFormat="false" ht="15" hidden="false" customHeight="false" outlineLevel="0" collapsed="false">
      <c r="A53" s="6" t="s">
        <v>1632</v>
      </c>
      <c r="B53" s="6" t="s">
        <v>262</v>
      </c>
      <c r="C53" s="6" t="s">
        <v>263</v>
      </c>
      <c r="D53" s="6" t="s">
        <v>1633</v>
      </c>
      <c r="E53" s="6" t="s">
        <v>1634</v>
      </c>
      <c r="F53" s="6" t="s">
        <v>129</v>
      </c>
      <c r="G53" s="6" t="s">
        <v>1635</v>
      </c>
      <c r="H53" s="6" t="s">
        <v>71</v>
      </c>
      <c r="I53" s="6"/>
    </row>
    <row r="54" customFormat="false" ht="15" hidden="false" customHeight="false" outlineLevel="0" collapsed="false">
      <c r="A54" s="6" t="s">
        <v>1636</v>
      </c>
      <c r="B54" s="6" t="s">
        <v>289</v>
      </c>
      <c r="C54" s="6" t="s">
        <v>290</v>
      </c>
      <c r="D54" s="6" t="s">
        <v>1637</v>
      </c>
      <c r="E54" s="6" t="s">
        <v>1638</v>
      </c>
      <c r="F54" s="6" t="s">
        <v>129</v>
      </c>
      <c r="G54" s="6" t="s">
        <v>1639</v>
      </c>
      <c r="H54" s="6" t="s">
        <v>71</v>
      </c>
      <c r="I54" s="6"/>
    </row>
    <row r="55" customFormat="false" ht="15" hidden="false" customHeight="false" outlineLevel="0" collapsed="false">
      <c r="A55" s="6" t="s">
        <v>1640</v>
      </c>
      <c r="B55" s="6" t="s">
        <v>296</v>
      </c>
      <c r="C55" s="6" t="s">
        <v>297</v>
      </c>
      <c r="D55" s="6" t="s">
        <v>1641</v>
      </c>
      <c r="E55" s="6" t="s">
        <v>1642</v>
      </c>
      <c r="F55" s="6" t="s">
        <v>129</v>
      </c>
      <c r="G55" s="6" t="s">
        <v>1643</v>
      </c>
      <c r="H55" s="6" t="s">
        <v>74</v>
      </c>
      <c r="I55" s="6"/>
    </row>
    <row r="56" customFormat="false" ht="15" hidden="false" customHeight="false" outlineLevel="0" collapsed="false">
      <c r="A56" s="6" t="s">
        <v>1644</v>
      </c>
      <c r="B56" s="6" t="s">
        <v>267</v>
      </c>
      <c r="C56" s="6" t="s">
        <v>268</v>
      </c>
      <c r="D56" s="6" t="s">
        <v>1645</v>
      </c>
      <c r="E56" s="6" t="s">
        <v>1646</v>
      </c>
      <c r="F56" s="6" t="s">
        <v>129</v>
      </c>
      <c r="G56" s="6" t="s">
        <v>1647</v>
      </c>
      <c r="H56" s="6" t="s">
        <v>75</v>
      </c>
      <c r="I56" s="6"/>
    </row>
    <row r="57" customFormat="false" ht="15" hidden="false" customHeight="false" outlineLevel="0" collapsed="false">
      <c r="A57" s="6" t="s">
        <v>1648</v>
      </c>
      <c r="B57" s="6" t="s">
        <v>270</v>
      </c>
      <c r="C57" s="6" t="s">
        <v>271</v>
      </c>
      <c r="D57" s="6" t="s">
        <v>1649</v>
      </c>
      <c r="E57" s="6" t="s">
        <v>1650</v>
      </c>
      <c r="F57" s="6" t="s">
        <v>129</v>
      </c>
      <c r="G57" s="6" t="s">
        <v>1651</v>
      </c>
      <c r="H57" s="6" t="s">
        <v>79</v>
      </c>
      <c r="I57" s="6"/>
    </row>
    <row r="58" customFormat="false" ht="15" hidden="false" customHeight="false" outlineLevel="0" collapsed="false">
      <c r="A58" s="6" t="s">
        <v>1652</v>
      </c>
      <c r="B58" s="6" t="s">
        <v>285</v>
      </c>
      <c r="C58" s="6" t="s">
        <v>286</v>
      </c>
      <c r="D58" s="6" t="s">
        <v>1653</v>
      </c>
      <c r="E58" s="6" t="s">
        <v>1654</v>
      </c>
      <c r="F58" s="6" t="s">
        <v>129</v>
      </c>
      <c r="G58" s="6" t="s">
        <v>1655</v>
      </c>
      <c r="H58" s="6" t="s">
        <v>71</v>
      </c>
      <c r="I58" s="6"/>
    </row>
    <row r="59" customFormat="false" ht="15" hidden="false" customHeight="false" outlineLevel="0" collapsed="false">
      <c r="A59" s="6" t="s">
        <v>1656</v>
      </c>
      <c r="B59" s="6" t="s">
        <v>298</v>
      </c>
      <c r="C59" s="6" t="s">
        <v>299</v>
      </c>
      <c r="D59" s="6" t="s">
        <v>1657</v>
      </c>
      <c r="E59" s="6" t="s">
        <v>1658</v>
      </c>
      <c r="F59" s="6" t="s">
        <v>129</v>
      </c>
      <c r="G59" s="6" t="s">
        <v>1550</v>
      </c>
      <c r="H59" s="6" t="s">
        <v>79</v>
      </c>
      <c r="I59" s="6"/>
    </row>
    <row r="60" customFormat="false" ht="15" hidden="false" customHeight="false" outlineLevel="0" collapsed="false">
      <c r="A60" s="6" t="s">
        <v>1659</v>
      </c>
      <c r="B60" s="6" t="s">
        <v>293</v>
      </c>
      <c r="C60" s="6" t="s">
        <v>294</v>
      </c>
      <c r="D60" s="6" t="s">
        <v>1660</v>
      </c>
      <c r="E60" s="6" t="s">
        <v>1661</v>
      </c>
      <c r="F60" s="6" t="s">
        <v>129</v>
      </c>
      <c r="G60" s="6" t="s">
        <v>1550</v>
      </c>
      <c r="H60" s="6" t="s">
        <v>79</v>
      </c>
      <c r="I60" s="6"/>
    </row>
    <row r="61" customFormat="false" ht="15" hidden="false" customHeight="false" outlineLevel="0" collapsed="false">
      <c r="A61" s="6" t="s">
        <v>1662</v>
      </c>
      <c r="B61" s="6" t="s">
        <v>278</v>
      </c>
      <c r="C61" s="6" t="s">
        <v>279</v>
      </c>
      <c r="D61" s="6" t="s">
        <v>1663</v>
      </c>
      <c r="E61" s="6" t="s">
        <v>1664</v>
      </c>
      <c r="F61" s="6" t="s">
        <v>129</v>
      </c>
      <c r="G61" s="6" t="s">
        <v>1665</v>
      </c>
      <c r="H61" s="6" t="s">
        <v>74</v>
      </c>
      <c r="I61" s="6"/>
    </row>
    <row r="62" customFormat="false" ht="15" hidden="false" customHeight="false" outlineLevel="0" collapsed="false">
      <c r="A62" s="6" t="s">
        <v>1666</v>
      </c>
      <c r="B62" s="6" t="s">
        <v>248</v>
      </c>
      <c r="C62" s="6" t="s">
        <v>249</v>
      </c>
      <c r="D62" s="6" t="s">
        <v>1667</v>
      </c>
      <c r="E62" s="6" t="s">
        <v>1668</v>
      </c>
      <c r="F62" s="6" t="s">
        <v>129</v>
      </c>
      <c r="G62" s="6" t="s">
        <v>1603</v>
      </c>
      <c r="H62" s="6" t="s">
        <v>73</v>
      </c>
      <c r="I62" s="6"/>
    </row>
    <row r="63" customFormat="false" ht="15" hidden="false" customHeight="false" outlineLevel="0" collapsed="false">
      <c r="A63" s="6" t="s">
        <v>1669</v>
      </c>
      <c r="B63" s="6" t="s">
        <v>258</v>
      </c>
      <c r="C63" s="6" t="s">
        <v>259</v>
      </c>
      <c r="D63" s="6" t="s">
        <v>1670</v>
      </c>
      <c r="E63" s="6" t="s">
        <v>1671</v>
      </c>
      <c r="F63" s="6" t="s">
        <v>129</v>
      </c>
      <c r="G63" s="6" t="s">
        <v>1550</v>
      </c>
      <c r="H63" s="6" t="s">
        <v>79</v>
      </c>
      <c r="I63" s="6"/>
    </row>
    <row r="64" customFormat="false" ht="15" hidden="false" customHeight="false" outlineLevel="0" collapsed="false">
      <c r="A64" s="6" t="s">
        <v>1672</v>
      </c>
      <c r="B64" s="6" t="s">
        <v>260</v>
      </c>
      <c r="C64" s="6" t="s">
        <v>261</v>
      </c>
      <c r="D64" s="6" t="s">
        <v>1673</v>
      </c>
      <c r="E64" s="6" t="s">
        <v>1674</v>
      </c>
      <c r="F64" s="6" t="s">
        <v>129</v>
      </c>
      <c r="G64" s="6" t="s">
        <v>1550</v>
      </c>
      <c r="H64" s="6" t="s">
        <v>79</v>
      </c>
      <c r="I64" s="6"/>
    </row>
    <row r="65" customFormat="false" ht="15" hidden="false" customHeight="false" outlineLevel="0" collapsed="false">
      <c r="A65" s="6" t="s">
        <v>1675</v>
      </c>
      <c r="B65" s="6" t="s">
        <v>258</v>
      </c>
      <c r="C65" s="6" t="s">
        <v>259</v>
      </c>
      <c r="D65" s="6" t="s">
        <v>1676</v>
      </c>
      <c r="E65" s="6" t="s">
        <v>1677</v>
      </c>
      <c r="F65" s="6" t="s">
        <v>129</v>
      </c>
      <c r="G65" s="6" t="s">
        <v>1678</v>
      </c>
      <c r="H65" s="6" t="s">
        <v>73</v>
      </c>
      <c r="I65" s="6"/>
    </row>
    <row r="66" customFormat="false" ht="15" hidden="false" customHeight="false" outlineLevel="0" collapsed="false">
      <c r="A66" s="6" t="s">
        <v>1679</v>
      </c>
      <c r="B66" s="6" t="s">
        <v>281</v>
      </c>
      <c r="C66" s="6" t="s">
        <v>282</v>
      </c>
      <c r="D66" s="6" t="s">
        <v>1680</v>
      </c>
      <c r="E66" s="6" t="s">
        <v>1681</v>
      </c>
      <c r="F66" s="6" t="s">
        <v>129</v>
      </c>
      <c r="G66" s="6" t="s">
        <v>1682</v>
      </c>
      <c r="H66" s="6" t="s">
        <v>71</v>
      </c>
      <c r="I66" s="6"/>
    </row>
    <row r="67" customFormat="false" ht="15" hidden="false" customHeight="false" outlineLevel="0" collapsed="false">
      <c r="A67" s="6" t="s">
        <v>1683</v>
      </c>
      <c r="B67" s="6" t="s">
        <v>283</v>
      </c>
      <c r="C67" s="6" t="s">
        <v>284</v>
      </c>
      <c r="D67" s="6" t="s">
        <v>1684</v>
      </c>
      <c r="E67" s="6" t="s">
        <v>1685</v>
      </c>
      <c r="F67" s="6" t="s">
        <v>129</v>
      </c>
      <c r="G67" s="6" t="s">
        <v>1686</v>
      </c>
      <c r="H67" s="6" t="s">
        <v>74</v>
      </c>
      <c r="I67" s="6"/>
    </row>
    <row r="68" customFormat="false" ht="15" hidden="false" customHeight="false" outlineLevel="0" collapsed="false">
      <c r="A68" s="6" t="s">
        <v>1687</v>
      </c>
      <c r="B68" s="6" t="s">
        <v>239</v>
      </c>
      <c r="C68" s="6" t="s">
        <v>240</v>
      </c>
      <c r="D68" s="6" t="s">
        <v>1688</v>
      </c>
      <c r="E68" s="6" t="s">
        <v>1689</v>
      </c>
      <c r="F68" s="6" t="s">
        <v>129</v>
      </c>
      <c r="G68" s="6" t="s">
        <v>1690</v>
      </c>
      <c r="H68" s="6" t="s">
        <v>77</v>
      </c>
      <c r="I68" s="6"/>
    </row>
    <row r="69" customFormat="false" ht="15" hidden="false" customHeight="false" outlineLevel="0" collapsed="false">
      <c r="A69" s="6" t="s">
        <v>1691</v>
      </c>
      <c r="B69" s="6" t="s">
        <v>276</v>
      </c>
      <c r="C69" s="6" t="s">
        <v>277</v>
      </c>
      <c r="D69" s="6" t="s">
        <v>1692</v>
      </c>
      <c r="E69" s="6" t="s">
        <v>1693</v>
      </c>
      <c r="F69" s="6" t="s">
        <v>129</v>
      </c>
      <c r="G69" s="6" t="s">
        <v>1518</v>
      </c>
      <c r="H69" s="6" t="s">
        <v>71</v>
      </c>
      <c r="I69" s="6"/>
    </row>
    <row r="70" customFormat="false" ht="15" hidden="false" customHeight="false" outlineLevel="0" collapsed="false">
      <c r="A70" s="6" t="s">
        <v>1694</v>
      </c>
      <c r="B70" s="6" t="s">
        <v>327</v>
      </c>
      <c r="C70" s="6" t="s">
        <v>328</v>
      </c>
      <c r="D70" s="6" t="s">
        <v>1695</v>
      </c>
      <c r="E70" s="6" t="s">
        <v>1696</v>
      </c>
      <c r="F70" s="6" t="s">
        <v>129</v>
      </c>
      <c r="G70" s="6" t="s">
        <v>1697</v>
      </c>
      <c r="H70" s="6" t="s">
        <v>74</v>
      </c>
      <c r="I70" s="6"/>
    </row>
    <row r="71" customFormat="false" ht="15" hidden="false" customHeight="false" outlineLevel="0" collapsed="false">
      <c r="A71" s="6" t="s">
        <v>1698</v>
      </c>
      <c r="B71" s="6" t="s">
        <v>357</v>
      </c>
      <c r="C71" s="6" t="s">
        <v>358</v>
      </c>
      <c r="D71" s="6" t="s">
        <v>1699</v>
      </c>
      <c r="E71" s="6" t="s">
        <v>1700</v>
      </c>
      <c r="F71" s="6" t="s">
        <v>129</v>
      </c>
      <c r="G71" s="6" t="s">
        <v>1701</v>
      </c>
      <c r="H71" s="6" t="s">
        <v>78</v>
      </c>
      <c r="I71" s="6"/>
    </row>
    <row r="72" customFormat="false" ht="15" hidden="false" customHeight="false" outlineLevel="0" collapsed="false">
      <c r="A72" s="6" t="s">
        <v>1702</v>
      </c>
      <c r="B72" s="6" t="s">
        <v>357</v>
      </c>
      <c r="C72" s="6" t="s">
        <v>358</v>
      </c>
      <c r="D72" s="6" t="s">
        <v>1703</v>
      </c>
      <c r="E72" s="6" t="s">
        <v>1704</v>
      </c>
      <c r="F72" s="6" t="s">
        <v>129</v>
      </c>
      <c r="G72" s="6" t="s">
        <v>1705</v>
      </c>
      <c r="H72" s="6" t="s">
        <v>78</v>
      </c>
      <c r="I72" s="6"/>
    </row>
    <row r="73" customFormat="false" ht="15" hidden="false" customHeight="false" outlineLevel="0" collapsed="false">
      <c r="A73" s="6" t="s">
        <v>1706</v>
      </c>
      <c r="B73" s="6" t="s">
        <v>357</v>
      </c>
      <c r="C73" s="6" t="s">
        <v>358</v>
      </c>
      <c r="D73" s="6" t="s">
        <v>1707</v>
      </c>
      <c r="E73" s="6" t="s">
        <v>1708</v>
      </c>
      <c r="F73" s="6" t="s">
        <v>129</v>
      </c>
      <c r="G73" s="6" t="s">
        <v>1709</v>
      </c>
      <c r="H73" s="6" t="s">
        <v>76</v>
      </c>
      <c r="I73" s="6"/>
    </row>
    <row r="74" customFormat="false" ht="15" hidden="false" customHeight="false" outlineLevel="0" collapsed="false">
      <c r="A74" s="6" t="s">
        <v>1710</v>
      </c>
      <c r="B74" s="6" t="s">
        <v>311</v>
      </c>
      <c r="C74" s="6" t="s">
        <v>312</v>
      </c>
      <c r="D74" s="6" t="s">
        <v>1711</v>
      </c>
      <c r="E74" s="6" t="s">
        <v>1712</v>
      </c>
      <c r="F74" s="6" t="s">
        <v>129</v>
      </c>
      <c r="G74" s="6" t="s">
        <v>1713</v>
      </c>
      <c r="H74" s="6" t="s">
        <v>73</v>
      </c>
      <c r="I74" s="6"/>
    </row>
    <row r="75" customFormat="false" ht="15" hidden="false" customHeight="false" outlineLevel="0" collapsed="false">
      <c r="A75" s="6" t="s">
        <v>1714</v>
      </c>
      <c r="B75" s="6" t="s">
        <v>139</v>
      </c>
      <c r="C75" s="6" t="s">
        <v>140</v>
      </c>
      <c r="D75" s="6" t="s">
        <v>1715</v>
      </c>
      <c r="E75" s="6" t="s">
        <v>1716</v>
      </c>
      <c r="F75" s="6" t="s">
        <v>129</v>
      </c>
      <c r="G75" s="6" t="s">
        <v>1717</v>
      </c>
      <c r="H75" s="6" t="s">
        <v>78</v>
      </c>
      <c r="I75" s="6"/>
    </row>
    <row r="76" customFormat="false" ht="15" hidden="false" customHeight="false" outlineLevel="0" collapsed="false">
      <c r="A76" s="6" t="s">
        <v>1718</v>
      </c>
      <c r="B76" s="6" t="s">
        <v>214</v>
      </c>
      <c r="C76" s="6" t="s">
        <v>215</v>
      </c>
      <c r="D76" s="6" t="s">
        <v>1719</v>
      </c>
      <c r="E76" s="6" t="s">
        <v>1720</v>
      </c>
      <c r="F76" s="6" t="s">
        <v>129</v>
      </c>
      <c r="G76" s="6" t="s">
        <v>1721</v>
      </c>
      <c r="H76" s="6" t="s">
        <v>73</v>
      </c>
      <c r="I76" s="6"/>
    </row>
    <row r="77" customFormat="false" ht="15" hidden="false" customHeight="false" outlineLevel="0" collapsed="false">
      <c r="A77" s="6" t="s">
        <v>1722</v>
      </c>
      <c r="B77" s="6" t="s">
        <v>374</v>
      </c>
      <c r="C77" s="6" t="s">
        <v>393</v>
      </c>
      <c r="D77" s="6" t="s">
        <v>1723</v>
      </c>
      <c r="E77" s="6" t="s">
        <v>1724</v>
      </c>
      <c r="F77" s="6" t="s">
        <v>129</v>
      </c>
      <c r="G77" s="6" t="s">
        <v>1725</v>
      </c>
      <c r="H77" s="6" t="s">
        <v>71</v>
      </c>
      <c r="I77" s="6"/>
    </row>
    <row r="78" customFormat="false" ht="15" hidden="false" customHeight="false" outlineLevel="0" collapsed="false">
      <c r="A78" s="6" t="s">
        <v>1726</v>
      </c>
      <c r="B78" s="6" t="s">
        <v>146</v>
      </c>
      <c r="C78" s="6" t="s">
        <v>147</v>
      </c>
      <c r="D78" s="6" t="s">
        <v>1727</v>
      </c>
      <c r="E78" s="6" t="s">
        <v>1728</v>
      </c>
      <c r="F78" s="6" t="s">
        <v>129</v>
      </c>
      <c r="G78" s="6" t="s">
        <v>1550</v>
      </c>
      <c r="H78" s="6" t="s">
        <v>79</v>
      </c>
      <c r="I78" s="6"/>
    </row>
    <row r="79" customFormat="false" ht="15" hidden="false" customHeight="false" outlineLevel="0" collapsed="false">
      <c r="A79" s="6" t="s">
        <v>1729</v>
      </c>
      <c r="B79" s="6" t="s">
        <v>359</v>
      </c>
      <c r="C79" s="6" t="s">
        <v>360</v>
      </c>
      <c r="D79" s="6" t="s">
        <v>1730</v>
      </c>
      <c r="E79" s="6" t="s">
        <v>1731</v>
      </c>
      <c r="F79" s="6" t="s">
        <v>129</v>
      </c>
      <c r="G79" s="6" t="s">
        <v>1550</v>
      </c>
      <c r="H79" s="6" t="s">
        <v>79</v>
      </c>
      <c r="I79" s="6"/>
    </row>
    <row r="80" customFormat="false" ht="15" hidden="false" customHeight="false" outlineLevel="0" collapsed="false">
      <c r="A80" s="6" t="s">
        <v>1732</v>
      </c>
      <c r="B80" s="6" t="s">
        <v>149</v>
      </c>
      <c r="C80" s="6" t="s">
        <v>150</v>
      </c>
      <c r="D80" s="6" t="s">
        <v>1733</v>
      </c>
      <c r="E80" s="6" t="s">
        <v>1734</v>
      </c>
      <c r="F80" s="6" t="s">
        <v>129</v>
      </c>
      <c r="G80" s="6" t="s">
        <v>1514</v>
      </c>
      <c r="H80" s="6" t="s">
        <v>71</v>
      </c>
      <c r="I80" s="6"/>
    </row>
    <row r="81" customFormat="false" ht="15" hidden="false" customHeight="false" outlineLevel="0" collapsed="false">
      <c r="A81" s="6" t="s">
        <v>1735</v>
      </c>
      <c r="B81" s="6" t="s">
        <v>149</v>
      </c>
      <c r="C81" s="6" t="s">
        <v>150</v>
      </c>
      <c r="D81" s="6" t="s">
        <v>1736</v>
      </c>
      <c r="E81" s="6" t="s">
        <v>1737</v>
      </c>
      <c r="F81" s="6" t="s">
        <v>129</v>
      </c>
      <c r="G81" s="6" t="s">
        <v>1738</v>
      </c>
      <c r="H81" s="6" t="s">
        <v>71</v>
      </c>
      <c r="I81" s="6"/>
    </row>
    <row r="82" customFormat="false" ht="15" hidden="false" customHeight="false" outlineLevel="0" collapsed="false">
      <c r="A82" s="6" t="s">
        <v>1739</v>
      </c>
      <c r="B82" s="6" t="s">
        <v>149</v>
      </c>
      <c r="C82" s="6" t="s">
        <v>150</v>
      </c>
      <c r="D82" s="6" t="s">
        <v>1740</v>
      </c>
      <c r="E82" s="6" t="s">
        <v>1741</v>
      </c>
      <c r="F82" s="6" t="s">
        <v>129</v>
      </c>
      <c r="G82" s="6" t="s">
        <v>1742</v>
      </c>
      <c r="H82" s="6" t="s">
        <v>71</v>
      </c>
      <c r="I82" s="6"/>
    </row>
    <row r="83" customFormat="false" ht="15" hidden="false" customHeight="false" outlineLevel="0" collapsed="false">
      <c r="A83" s="6" t="s">
        <v>1743</v>
      </c>
      <c r="B83" s="6" t="s">
        <v>151</v>
      </c>
      <c r="C83" s="6" t="s">
        <v>152</v>
      </c>
      <c r="D83" s="6" t="s">
        <v>1744</v>
      </c>
      <c r="E83" s="6" t="s">
        <v>1745</v>
      </c>
      <c r="F83" s="6" t="s">
        <v>129</v>
      </c>
      <c r="G83" s="6" t="s">
        <v>1518</v>
      </c>
      <c r="H83" s="6" t="s">
        <v>71</v>
      </c>
      <c r="I83" s="6"/>
    </row>
    <row r="84" customFormat="false" ht="15" hidden="false" customHeight="false" outlineLevel="0" collapsed="false">
      <c r="A84" s="6" t="s">
        <v>1746</v>
      </c>
      <c r="B84" s="6" t="s">
        <v>171</v>
      </c>
      <c r="C84" s="6" t="s">
        <v>172</v>
      </c>
      <c r="D84" s="6" t="s">
        <v>1747</v>
      </c>
      <c r="E84" s="6" t="s">
        <v>1748</v>
      </c>
      <c r="F84" s="6" t="s">
        <v>129</v>
      </c>
      <c r="G84" s="6" t="s">
        <v>1518</v>
      </c>
      <c r="H84" s="6" t="s">
        <v>71</v>
      </c>
      <c r="I84" s="6"/>
    </row>
    <row r="85" customFormat="false" ht="15" hidden="false" customHeight="false" outlineLevel="0" collapsed="false">
      <c r="A85" s="6" t="s">
        <v>1749</v>
      </c>
      <c r="B85" s="6" t="s">
        <v>166</v>
      </c>
      <c r="C85" s="6" t="s">
        <v>167</v>
      </c>
      <c r="D85" s="6" t="s">
        <v>1750</v>
      </c>
      <c r="E85" s="6" t="s">
        <v>1751</v>
      </c>
      <c r="F85" s="6" t="s">
        <v>129</v>
      </c>
      <c r="G85" s="6" t="s">
        <v>1752</v>
      </c>
      <c r="H85" s="6" t="s">
        <v>71</v>
      </c>
      <c r="I85" s="6"/>
    </row>
    <row r="86" customFormat="false" ht="15" hidden="false" customHeight="false" outlineLevel="0" collapsed="false">
      <c r="A86" s="6" t="s">
        <v>1753</v>
      </c>
      <c r="B86" s="6" t="s">
        <v>197</v>
      </c>
      <c r="C86" s="6" t="s">
        <v>198</v>
      </c>
      <c r="D86" s="6" t="s">
        <v>1754</v>
      </c>
      <c r="E86" s="6" t="s">
        <v>1755</v>
      </c>
      <c r="F86" s="6" t="s">
        <v>129</v>
      </c>
      <c r="G86" s="6" t="s">
        <v>1756</v>
      </c>
      <c r="H86" s="6" t="s">
        <v>73</v>
      </c>
      <c r="I86" s="6"/>
    </row>
    <row r="87" customFormat="false" ht="15" hidden="false" customHeight="false" outlineLevel="0" collapsed="false">
      <c r="A87" s="6" t="s">
        <v>1757</v>
      </c>
      <c r="B87" s="6" t="s">
        <v>156</v>
      </c>
      <c r="C87" s="6" t="s">
        <v>157</v>
      </c>
      <c r="D87" s="6" t="s">
        <v>1758</v>
      </c>
      <c r="E87" s="6" t="s">
        <v>1759</v>
      </c>
      <c r="F87" s="6" t="s">
        <v>129</v>
      </c>
      <c r="G87" s="6" t="s">
        <v>1760</v>
      </c>
      <c r="H87" s="6" t="s">
        <v>71</v>
      </c>
      <c r="I87" s="6"/>
    </row>
    <row r="88" customFormat="false" ht="15" hidden="false" customHeight="false" outlineLevel="0" collapsed="false">
      <c r="A88" s="6" t="s">
        <v>1761</v>
      </c>
      <c r="B88" s="6" t="s">
        <v>224</v>
      </c>
      <c r="C88" s="6" t="s">
        <v>225</v>
      </c>
      <c r="D88" s="6" t="s">
        <v>1762</v>
      </c>
      <c r="E88" s="6" t="s">
        <v>1763</v>
      </c>
      <c r="F88" s="6" t="s">
        <v>129</v>
      </c>
      <c r="G88" s="6" t="s">
        <v>1764</v>
      </c>
      <c r="H88" s="6" t="s">
        <v>76</v>
      </c>
      <c r="I88" s="6"/>
    </row>
    <row r="89" customFormat="false" ht="15" hidden="false" customHeight="false" outlineLevel="0" collapsed="false">
      <c r="A89" s="6" t="s">
        <v>1765</v>
      </c>
      <c r="B89" s="6" t="s">
        <v>374</v>
      </c>
      <c r="C89" s="6" t="s">
        <v>394</v>
      </c>
      <c r="D89" s="6" t="s">
        <v>1766</v>
      </c>
      <c r="E89" s="6" t="s">
        <v>1767</v>
      </c>
      <c r="F89" s="6" t="s">
        <v>129</v>
      </c>
      <c r="G89" s="6" t="s">
        <v>1768</v>
      </c>
      <c r="H89" s="6" t="s">
        <v>75</v>
      </c>
      <c r="I89" s="6"/>
    </row>
    <row r="90" customFormat="false" ht="15" hidden="false" customHeight="false" outlineLevel="0" collapsed="false">
      <c r="A90" s="6" t="s">
        <v>1769</v>
      </c>
      <c r="B90" s="6" t="s">
        <v>374</v>
      </c>
      <c r="C90" s="6" t="s">
        <v>390</v>
      </c>
      <c r="D90" s="6" t="s">
        <v>1770</v>
      </c>
      <c r="E90" s="6" t="s">
        <v>1771</v>
      </c>
      <c r="F90" s="6" t="s">
        <v>129</v>
      </c>
      <c r="G90" s="6" t="s">
        <v>1550</v>
      </c>
      <c r="H90" s="6" t="s">
        <v>79</v>
      </c>
      <c r="I90" s="6" t="s">
        <v>1519</v>
      </c>
    </row>
    <row r="91" customFormat="false" ht="15" hidden="false" customHeight="false" outlineLevel="0" collapsed="false">
      <c r="A91" s="6" t="s">
        <v>1772</v>
      </c>
      <c r="B91" s="6" t="s">
        <v>374</v>
      </c>
      <c r="C91" s="6" t="s">
        <v>375</v>
      </c>
      <c r="D91" s="6" t="s">
        <v>1773</v>
      </c>
      <c r="E91" s="6" t="s">
        <v>1774</v>
      </c>
      <c r="F91" s="6" t="s">
        <v>129</v>
      </c>
      <c r="G91" s="6" t="s">
        <v>1775</v>
      </c>
      <c r="H91" s="6" t="s">
        <v>78</v>
      </c>
      <c r="I91" s="6"/>
    </row>
    <row r="92" customFormat="false" ht="15" hidden="false" customHeight="false" outlineLevel="0" collapsed="false">
      <c r="A92" s="6" t="s">
        <v>1776</v>
      </c>
      <c r="B92" s="6" t="s">
        <v>222</v>
      </c>
      <c r="C92" s="6" t="s">
        <v>223</v>
      </c>
      <c r="D92" s="6" t="s">
        <v>1777</v>
      </c>
      <c r="E92" s="6" t="s">
        <v>1778</v>
      </c>
      <c r="F92" s="6" t="s">
        <v>129</v>
      </c>
      <c r="G92" s="6" t="s">
        <v>1779</v>
      </c>
      <c r="H92" s="6" t="s">
        <v>76</v>
      </c>
      <c r="I92" s="6"/>
    </row>
    <row r="93" customFormat="false" ht="15" hidden="false" customHeight="false" outlineLevel="0" collapsed="false">
      <c r="A93" s="6" t="s">
        <v>1780</v>
      </c>
      <c r="B93" s="6" t="s">
        <v>187</v>
      </c>
      <c r="C93" s="6" t="s">
        <v>188</v>
      </c>
      <c r="D93" s="6" t="s">
        <v>1781</v>
      </c>
      <c r="E93" s="6" t="s">
        <v>1782</v>
      </c>
      <c r="F93" s="6" t="s">
        <v>129</v>
      </c>
      <c r="G93" s="6" t="s">
        <v>1550</v>
      </c>
      <c r="H93" s="6" t="s">
        <v>79</v>
      </c>
      <c r="I93" s="6"/>
    </row>
    <row r="94" customFormat="false" ht="15" hidden="false" customHeight="false" outlineLevel="0" collapsed="false">
      <c r="A94" s="6" t="s">
        <v>1783</v>
      </c>
      <c r="B94" s="6" t="s">
        <v>222</v>
      </c>
      <c r="C94" s="6" t="s">
        <v>223</v>
      </c>
      <c r="D94" s="6" t="s">
        <v>1784</v>
      </c>
      <c r="E94" s="6" t="s">
        <v>1785</v>
      </c>
      <c r="F94" s="6" t="s">
        <v>129</v>
      </c>
      <c r="G94" s="6" t="s">
        <v>1550</v>
      </c>
      <c r="H94" s="6" t="s">
        <v>79</v>
      </c>
      <c r="I94" s="6"/>
    </row>
    <row r="95" customFormat="false" ht="15" hidden="false" customHeight="false" outlineLevel="0" collapsed="false">
      <c r="A95" s="6" t="s">
        <v>1786</v>
      </c>
      <c r="B95" s="6" t="s">
        <v>265</v>
      </c>
      <c r="C95" s="6" t="s">
        <v>266</v>
      </c>
      <c r="D95" s="6" t="s">
        <v>1787</v>
      </c>
      <c r="E95" s="6" t="s">
        <v>1788</v>
      </c>
      <c r="F95" s="6" t="s">
        <v>129</v>
      </c>
      <c r="G95" s="6" t="s">
        <v>1789</v>
      </c>
      <c r="H95" s="6" t="s">
        <v>77</v>
      </c>
      <c r="I95" s="6"/>
    </row>
    <row r="96" customFormat="false" ht="15" hidden="false" customHeight="false" outlineLevel="0" collapsed="false">
      <c r="A96" s="6" t="s">
        <v>1790</v>
      </c>
      <c r="B96" s="6" t="s">
        <v>305</v>
      </c>
      <c r="C96" s="6" t="s">
        <v>306</v>
      </c>
      <c r="D96" s="6" t="s">
        <v>1791</v>
      </c>
      <c r="E96" s="6" t="s">
        <v>1792</v>
      </c>
      <c r="F96" s="6" t="s">
        <v>129</v>
      </c>
      <c r="G96" s="6" t="s">
        <v>1793</v>
      </c>
      <c r="H96" s="6" t="s">
        <v>71</v>
      </c>
      <c r="I96" s="6"/>
    </row>
    <row r="97" customFormat="false" ht="15" hidden="false" customHeight="false" outlineLevel="0" collapsed="false">
      <c r="A97" s="6" t="s">
        <v>1794</v>
      </c>
      <c r="B97" s="6" t="s">
        <v>190</v>
      </c>
      <c r="C97" s="6" t="s">
        <v>191</v>
      </c>
      <c r="D97" s="6" t="s">
        <v>1795</v>
      </c>
      <c r="E97" s="6" t="s">
        <v>1796</v>
      </c>
      <c r="F97" s="6" t="s">
        <v>129</v>
      </c>
      <c r="G97" s="6" t="s">
        <v>1797</v>
      </c>
      <c r="H97" s="6" t="s">
        <v>77</v>
      </c>
      <c r="I97" s="6"/>
    </row>
    <row r="98" customFormat="false" ht="15" hidden="false" customHeight="false" outlineLevel="0" collapsed="false">
      <c r="A98" s="6" t="s">
        <v>1798</v>
      </c>
      <c r="B98" s="6" t="s">
        <v>235</v>
      </c>
      <c r="C98" s="6" t="s">
        <v>236</v>
      </c>
      <c r="D98" s="6" t="s">
        <v>1799</v>
      </c>
      <c r="E98" s="6" t="s">
        <v>1800</v>
      </c>
      <c r="F98" s="6" t="s">
        <v>129</v>
      </c>
      <c r="G98" s="6" t="s">
        <v>1801</v>
      </c>
      <c r="H98" s="6" t="s">
        <v>76</v>
      </c>
      <c r="I98" s="6"/>
    </row>
    <row r="99" customFormat="false" ht="15" hidden="false" customHeight="false" outlineLevel="0" collapsed="false">
      <c r="A99" s="6" t="s">
        <v>1802</v>
      </c>
      <c r="B99" s="6" t="s">
        <v>163</v>
      </c>
      <c r="C99" s="6" t="s">
        <v>164</v>
      </c>
      <c r="D99" s="6" t="s">
        <v>1803</v>
      </c>
      <c r="E99" s="6" t="s">
        <v>1804</v>
      </c>
      <c r="F99" s="6" t="s">
        <v>129</v>
      </c>
      <c r="G99" s="6" t="s">
        <v>1805</v>
      </c>
      <c r="H99" s="6" t="s">
        <v>73</v>
      </c>
      <c r="I99" s="6"/>
    </row>
    <row r="100" customFormat="false" ht="15" hidden="false" customHeight="false" outlineLevel="0" collapsed="false">
      <c r="A100" s="6" t="s">
        <v>1806</v>
      </c>
      <c r="B100" s="6" t="s">
        <v>163</v>
      </c>
      <c r="C100" s="6" t="s">
        <v>164</v>
      </c>
      <c r="D100" s="6" t="s">
        <v>1807</v>
      </c>
      <c r="E100" s="6" t="s">
        <v>1808</v>
      </c>
      <c r="F100" s="6" t="s">
        <v>129</v>
      </c>
      <c r="G100" s="6" t="s">
        <v>1805</v>
      </c>
      <c r="H100" s="6" t="s">
        <v>73</v>
      </c>
      <c r="I100" s="6"/>
    </row>
    <row r="101" customFormat="false" ht="15" hidden="false" customHeight="false" outlineLevel="0" collapsed="false">
      <c r="A101" s="6" t="s">
        <v>1809</v>
      </c>
      <c r="B101" s="6" t="s">
        <v>260</v>
      </c>
      <c r="C101" s="6" t="s">
        <v>261</v>
      </c>
      <c r="D101" s="6" t="s">
        <v>1810</v>
      </c>
      <c r="E101" s="6" t="s">
        <v>1811</v>
      </c>
      <c r="F101" s="6" t="s">
        <v>129</v>
      </c>
      <c r="G101" s="6" t="s">
        <v>1805</v>
      </c>
      <c r="H101" s="6" t="s">
        <v>73</v>
      </c>
      <c r="I101" s="6"/>
    </row>
    <row r="102" customFormat="false" ht="15" hidden="false" customHeight="false" outlineLevel="0" collapsed="false">
      <c r="A102" s="6" t="s">
        <v>1812</v>
      </c>
      <c r="B102" s="6" t="s">
        <v>260</v>
      </c>
      <c r="C102" s="6" t="s">
        <v>261</v>
      </c>
      <c r="D102" s="6" t="s">
        <v>1813</v>
      </c>
      <c r="E102" s="6" t="s">
        <v>1814</v>
      </c>
      <c r="F102" s="6" t="s">
        <v>129</v>
      </c>
      <c r="G102" s="6" t="s">
        <v>1815</v>
      </c>
      <c r="H102" s="6" t="s">
        <v>73</v>
      </c>
      <c r="I102" s="6"/>
    </row>
    <row r="103" customFormat="false" ht="15" hidden="false" customHeight="false" outlineLevel="0" collapsed="false">
      <c r="A103" s="6" t="s">
        <v>1816</v>
      </c>
      <c r="B103" s="6" t="s">
        <v>163</v>
      </c>
      <c r="C103" s="6" t="s">
        <v>164</v>
      </c>
      <c r="D103" s="6" t="s">
        <v>1688</v>
      </c>
      <c r="E103" s="6" t="s">
        <v>1817</v>
      </c>
      <c r="F103" s="6" t="s">
        <v>129</v>
      </c>
      <c r="G103" s="6" t="s">
        <v>1550</v>
      </c>
      <c r="H103" s="6" t="s">
        <v>79</v>
      </c>
      <c r="I103" s="6"/>
    </row>
    <row r="104" customFormat="false" ht="15" hidden="false" customHeight="false" outlineLevel="0" collapsed="false">
      <c r="A104" s="6" t="s">
        <v>1818</v>
      </c>
      <c r="B104" s="6" t="s">
        <v>235</v>
      </c>
      <c r="C104" s="6" t="s">
        <v>236</v>
      </c>
      <c r="D104" s="6" t="s">
        <v>1819</v>
      </c>
      <c r="E104" s="6" t="s">
        <v>1820</v>
      </c>
      <c r="F104" s="6" t="s">
        <v>129</v>
      </c>
      <c r="G104" s="6" t="s">
        <v>1550</v>
      </c>
      <c r="H104" s="6" t="s">
        <v>79</v>
      </c>
      <c r="I104" s="6"/>
    </row>
    <row r="105" customFormat="false" ht="15" hidden="false" customHeight="false" outlineLevel="0" collapsed="false">
      <c r="A105" s="6" t="s">
        <v>1821</v>
      </c>
      <c r="B105" s="6" t="s">
        <v>374</v>
      </c>
      <c r="C105" s="6" t="s">
        <v>380</v>
      </c>
      <c r="D105" s="6" t="s">
        <v>1822</v>
      </c>
      <c r="E105" s="6" t="s">
        <v>1823</v>
      </c>
      <c r="F105" s="6" t="s">
        <v>129</v>
      </c>
      <c r="G105" s="6" t="s">
        <v>1824</v>
      </c>
      <c r="H105" s="6" t="s">
        <v>74</v>
      </c>
      <c r="I105" s="6"/>
    </row>
    <row r="106" customFormat="false" ht="15" hidden="false" customHeight="false" outlineLevel="0" collapsed="false">
      <c r="A106" s="6" t="s">
        <v>1825</v>
      </c>
      <c r="B106" s="6" t="s">
        <v>374</v>
      </c>
      <c r="C106" s="6" t="s">
        <v>395</v>
      </c>
      <c r="D106" s="6" t="s">
        <v>1826</v>
      </c>
      <c r="E106" s="6" t="s">
        <v>1827</v>
      </c>
      <c r="F106" s="6" t="s">
        <v>129</v>
      </c>
      <c r="G106" s="6" t="s">
        <v>1550</v>
      </c>
      <c r="H106" s="6" t="s">
        <v>79</v>
      </c>
      <c r="I106" s="6"/>
    </row>
    <row r="107" customFormat="false" ht="15" hidden="false" customHeight="false" outlineLevel="0" collapsed="false">
      <c r="A107" s="6" t="s">
        <v>1828</v>
      </c>
      <c r="B107" s="6" t="s">
        <v>179</v>
      </c>
      <c r="C107" s="6" t="s">
        <v>180</v>
      </c>
      <c r="D107" s="6" t="s">
        <v>1829</v>
      </c>
      <c r="E107" s="6" t="s">
        <v>1830</v>
      </c>
      <c r="F107" s="6" t="s">
        <v>129</v>
      </c>
      <c r="G107" s="6" t="s">
        <v>1831</v>
      </c>
      <c r="H107" s="6" t="s">
        <v>73</v>
      </c>
      <c r="I107" s="6"/>
    </row>
    <row r="108" customFormat="false" ht="15" hidden="false" customHeight="false" outlineLevel="0" collapsed="false">
      <c r="A108" s="6" t="s">
        <v>1832</v>
      </c>
      <c r="B108" s="6" t="s">
        <v>374</v>
      </c>
      <c r="C108" s="6" t="s">
        <v>396</v>
      </c>
      <c r="D108" s="6" t="s">
        <v>1833</v>
      </c>
      <c r="E108" s="6" t="s">
        <v>1834</v>
      </c>
      <c r="F108" s="6" t="s">
        <v>129</v>
      </c>
      <c r="G108" s="6" t="s">
        <v>1835</v>
      </c>
      <c r="H108" s="6" t="s">
        <v>75</v>
      </c>
      <c r="I108" s="6"/>
    </row>
    <row r="109" customFormat="false" ht="15" hidden="false" customHeight="false" outlineLevel="0" collapsed="false">
      <c r="A109" s="6" t="s">
        <v>1836</v>
      </c>
      <c r="B109" s="6" t="s">
        <v>374</v>
      </c>
      <c r="C109" s="6" t="s">
        <v>397</v>
      </c>
      <c r="D109" s="6" t="s">
        <v>1837</v>
      </c>
      <c r="E109" s="6" t="s">
        <v>1838</v>
      </c>
      <c r="F109" s="6" t="s">
        <v>129</v>
      </c>
      <c r="G109" s="6" t="s">
        <v>1839</v>
      </c>
      <c r="H109" s="6" t="s">
        <v>75</v>
      </c>
      <c r="I109" s="6"/>
    </row>
    <row r="110" customFormat="false" ht="15" hidden="false" customHeight="false" outlineLevel="0" collapsed="false">
      <c r="A110" s="6" t="s">
        <v>1840</v>
      </c>
      <c r="B110" s="6" t="s">
        <v>222</v>
      </c>
      <c r="C110" s="6" t="s">
        <v>223</v>
      </c>
      <c r="D110" s="6" t="s">
        <v>1841</v>
      </c>
      <c r="E110" s="6" t="s">
        <v>1842</v>
      </c>
      <c r="F110" s="6" t="s">
        <v>129</v>
      </c>
      <c r="G110" s="6" t="s">
        <v>1843</v>
      </c>
      <c r="H110" s="6" t="s">
        <v>71</v>
      </c>
      <c r="I110" s="6"/>
    </row>
    <row r="111" customFormat="false" ht="15" hidden="false" customHeight="false" outlineLevel="0" collapsed="false">
      <c r="A111" s="6" t="s">
        <v>1844</v>
      </c>
      <c r="B111" s="6" t="s">
        <v>334</v>
      </c>
      <c r="C111" s="6" t="s">
        <v>335</v>
      </c>
      <c r="D111" s="6" t="s">
        <v>1845</v>
      </c>
      <c r="E111" s="6" t="s">
        <v>1846</v>
      </c>
      <c r="F111" s="6" t="s">
        <v>129</v>
      </c>
      <c r="G111" s="6" t="s">
        <v>1847</v>
      </c>
      <c r="H111" s="6" t="s">
        <v>79</v>
      </c>
      <c r="I111" s="6"/>
    </row>
    <row r="112" customFormat="false" ht="15" hidden="false" customHeight="false" outlineLevel="0" collapsed="false">
      <c r="A112" s="6" t="s">
        <v>1848</v>
      </c>
      <c r="B112" s="6" t="s">
        <v>246</v>
      </c>
      <c r="C112" s="6" t="s">
        <v>247</v>
      </c>
      <c r="D112" s="6" t="s">
        <v>1849</v>
      </c>
      <c r="E112" s="6" t="s">
        <v>1850</v>
      </c>
      <c r="F112" s="6" t="s">
        <v>129</v>
      </c>
      <c r="G112" s="6" t="s">
        <v>1851</v>
      </c>
      <c r="H112" s="6" t="s">
        <v>71</v>
      </c>
      <c r="I112" s="6"/>
    </row>
    <row r="113" customFormat="false" ht="15" hidden="false" customHeight="false" outlineLevel="0" collapsed="false">
      <c r="A113" s="6" t="s">
        <v>1852</v>
      </c>
      <c r="B113" s="6" t="s">
        <v>256</v>
      </c>
      <c r="C113" s="6" t="s">
        <v>257</v>
      </c>
      <c r="D113" s="6" t="s">
        <v>1853</v>
      </c>
      <c r="E113" s="6" t="s">
        <v>1854</v>
      </c>
      <c r="F113" s="6" t="s">
        <v>129</v>
      </c>
      <c r="G113" s="6" t="s">
        <v>1550</v>
      </c>
      <c r="H113" s="6" t="s">
        <v>79</v>
      </c>
      <c r="I113" s="6"/>
    </row>
    <row r="114" customFormat="false" ht="15" hidden="false" customHeight="false" outlineLevel="0" collapsed="false">
      <c r="A114" s="6" t="s">
        <v>1855</v>
      </c>
      <c r="B114" s="6" t="s">
        <v>253</v>
      </c>
      <c r="C114" s="6" t="s">
        <v>254</v>
      </c>
      <c r="D114" s="6" t="s">
        <v>1856</v>
      </c>
      <c r="E114" s="6" t="s">
        <v>1857</v>
      </c>
      <c r="F114" s="6" t="s">
        <v>129</v>
      </c>
      <c r="G114" s="6" t="s">
        <v>1858</v>
      </c>
      <c r="H114" s="6" t="s">
        <v>73</v>
      </c>
      <c r="I114" s="6"/>
    </row>
    <row r="115" customFormat="false" ht="15" hidden="false" customHeight="false" outlineLevel="0" collapsed="false">
      <c r="A115" s="6" t="s">
        <v>1859</v>
      </c>
      <c r="B115" s="6" t="s">
        <v>214</v>
      </c>
      <c r="C115" s="6" t="s">
        <v>215</v>
      </c>
      <c r="D115" s="6" t="s">
        <v>1719</v>
      </c>
      <c r="E115" s="6" t="s">
        <v>1720</v>
      </c>
      <c r="F115" s="6" t="s">
        <v>129</v>
      </c>
      <c r="G115" s="6" t="s">
        <v>1860</v>
      </c>
      <c r="H115" s="6" t="s">
        <v>73</v>
      </c>
      <c r="I115" s="6"/>
    </row>
    <row r="116" customFormat="false" ht="15" hidden="false" customHeight="false" outlineLevel="0" collapsed="false">
      <c r="A116" s="6" t="s">
        <v>1861</v>
      </c>
      <c r="B116" s="6" t="s">
        <v>227</v>
      </c>
      <c r="C116" s="6" t="s">
        <v>228</v>
      </c>
      <c r="D116" s="6" t="s">
        <v>1862</v>
      </c>
      <c r="E116" s="6" t="s">
        <v>1863</v>
      </c>
      <c r="F116" s="6" t="s">
        <v>129</v>
      </c>
      <c r="G116" s="6" t="s">
        <v>1550</v>
      </c>
      <c r="H116" s="6" t="s">
        <v>79</v>
      </c>
      <c r="I116" s="6"/>
    </row>
    <row r="117" customFormat="false" ht="15" hidden="false" customHeight="false" outlineLevel="0" collapsed="false">
      <c r="A117" s="6" t="s">
        <v>1864</v>
      </c>
      <c r="B117" s="6" t="s">
        <v>227</v>
      </c>
      <c r="C117" s="6" t="s">
        <v>228</v>
      </c>
      <c r="D117" s="6" t="s">
        <v>1865</v>
      </c>
      <c r="E117" s="6" t="s">
        <v>1866</v>
      </c>
      <c r="F117" s="6" t="s">
        <v>129</v>
      </c>
      <c r="G117" s="6" t="s">
        <v>1550</v>
      </c>
      <c r="H117" s="6" t="s">
        <v>79</v>
      </c>
      <c r="I117" s="6"/>
    </row>
    <row r="118" customFormat="false" ht="15" hidden="false" customHeight="false" outlineLevel="0" collapsed="false">
      <c r="A118" s="6" t="s">
        <v>1867</v>
      </c>
      <c r="B118" s="6" t="s">
        <v>253</v>
      </c>
      <c r="C118" s="6" t="s">
        <v>254</v>
      </c>
      <c r="D118" s="6" t="s">
        <v>1868</v>
      </c>
      <c r="E118" s="6" t="s">
        <v>1869</v>
      </c>
      <c r="F118" s="6" t="s">
        <v>129</v>
      </c>
      <c r="G118" s="6" t="s">
        <v>1550</v>
      </c>
      <c r="H118" s="6" t="s">
        <v>79</v>
      </c>
      <c r="I118" s="6"/>
    </row>
    <row r="119" customFormat="false" ht="15" hidden="false" customHeight="false" outlineLevel="0" collapsed="false">
      <c r="A119" s="6" t="s">
        <v>1870</v>
      </c>
      <c r="B119" s="6" t="s">
        <v>227</v>
      </c>
      <c r="C119" s="6" t="s">
        <v>228</v>
      </c>
      <c r="D119" s="6" t="s">
        <v>1871</v>
      </c>
      <c r="E119" s="6" t="s">
        <v>1872</v>
      </c>
      <c r="F119" s="6" t="s">
        <v>129</v>
      </c>
      <c r="G119" s="6" t="s">
        <v>1873</v>
      </c>
      <c r="H119" s="6" t="s">
        <v>78</v>
      </c>
      <c r="I119" s="6"/>
    </row>
    <row r="120" customFormat="false" ht="15" hidden="false" customHeight="false" outlineLevel="0" collapsed="false">
      <c r="A120" s="6" t="s">
        <v>1874</v>
      </c>
      <c r="B120" s="6" t="s">
        <v>253</v>
      </c>
      <c r="C120" s="6" t="s">
        <v>254</v>
      </c>
      <c r="D120" s="6" t="s">
        <v>1875</v>
      </c>
      <c r="E120" s="6" t="s">
        <v>1876</v>
      </c>
      <c r="F120" s="6" t="s">
        <v>129</v>
      </c>
      <c r="G120" s="6" t="s">
        <v>1877</v>
      </c>
      <c r="H120" s="6" t="s">
        <v>73</v>
      </c>
      <c r="I120" s="6"/>
    </row>
    <row r="121" customFormat="false" ht="15" hidden="false" customHeight="false" outlineLevel="0" collapsed="false">
      <c r="A121" s="6" t="s">
        <v>1878</v>
      </c>
      <c r="B121" s="6" t="s">
        <v>253</v>
      </c>
      <c r="C121" s="6" t="s">
        <v>254</v>
      </c>
      <c r="D121" s="6" t="s">
        <v>1879</v>
      </c>
      <c r="E121" s="6" t="s">
        <v>1880</v>
      </c>
      <c r="F121" s="6" t="s">
        <v>129</v>
      </c>
      <c r="G121" s="6" t="s">
        <v>1881</v>
      </c>
      <c r="H121" s="6" t="s">
        <v>73</v>
      </c>
      <c r="I121" s="6"/>
    </row>
    <row r="122" customFormat="false" ht="15" hidden="false" customHeight="false" outlineLevel="0" collapsed="false">
      <c r="A122" s="6" t="s">
        <v>1882</v>
      </c>
      <c r="B122" s="6" t="s">
        <v>374</v>
      </c>
      <c r="C122" s="6" t="s">
        <v>393</v>
      </c>
      <c r="D122" s="6" t="s">
        <v>1723</v>
      </c>
      <c r="E122" s="6" t="s">
        <v>1724</v>
      </c>
      <c r="F122" s="6" t="s">
        <v>129</v>
      </c>
      <c r="G122" s="6" t="s">
        <v>1725</v>
      </c>
      <c r="H122" s="6" t="s">
        <v>71</v>
      </c>
      <c r="I122" s="6"/>
    </row>
    <row r="123" customFormat="false" ht="15" hidden="false" customHeight="false" outlineLevel="0" collapsed="false">
      <c r="A123" s="6" t="s">
        <v>1883</v>
      </c>
      <c r="B123" s="6" t="s">
        <v>374</v>
      </c>
      <c r="C123" s="6" t="s">
        <v>398</v>
      </c>
      <c r="D123" s="6" t="s">
        <v>1884</v>
      </c>
      <c r="E123" s="6" t="s">
        <v>1885</v>
      </c>
      <c r="F123" s="6" t="s">
        <v>129</v>
      </c>
      <c r="G123" s="6" t="s">
        <v>1550</v>
      </c>
      <c r="H123" s="6" t="s">
        <v>79</v>
      </c>
      <c r="I123" s="6"/>
    </row>
    <row r="124" customFormat="false" ht="15" hidden="false" customHeight="false" outlineLevel="0" collapsed="false">
      <c r="A124" s="6" t="s">
        <v>1886</v>
      </c>
      <c r="B124" s="6" t="s">
        <v>374</v>
      </c>
      <c r="C124" s="6" t="s">
        <v>399</v>
      </c>
      <c r="D124" s="6" t="s">
        <v>1887</v>
      </c>
      <c r="E124" s="6" t="s">
        <v>1888</v>
      </c>
      <c r="F124" s="6" t="s">
        <v>129</v>
      </c>
      <c r="G124" s="6" t="s">
        <v>1889</v>
      </c>
      <c r="H124" s="6" t="s">
        <v>76</v>
      </c>
      <c r="I124" s="6"/>
    </row>
    <row r="125" customFormat="false" ht="15" hidden="false" customHeight="false" outlineLevel="0" collapsed="false">
      <c r="A125" s="6" t="s">
        <v>1890</v>
      </c>
      <c r="B125" s="6" t="s">
        <v>149</v>
      </c>
      <c r="C125" s="6" t="s">
        <v>150</v>
      </c>
      <c r="D125" s="6" t="s">
        <v>1891</v>
      </c>
      <c r="E125" s="6" t="s">
        <v>1892</v>
      </c>
      <c r="F125" s="6" t="s">
        <v>129</v>
      </c>
      <c r="G125" s="6" t="s">
        <v>1843</v>
      </c>
      <c r="H125" s="6" t="s">
        <v>71</v>
      </c>
      <c r="I125" s="6"/>
    </row>
    <row r="126" customFormat="false" ht="15" hidden="false" customHeight="false" outlineLevel="0" collapsed="false">
      <c r="A126" s="6" t="s">
        <v>1893</v>
      </c>
      <c r="B126" s="6" t="s">
        <v>149</v>
      </c>
      <c r="C126" s="6" t="s">
        <v>150</v>
      </c>
      <c r="D126" s="6" t="s">
        <v>1894</v>
      </c>
      <c r="E126" s="6" t="s">
        <v>1895</v>
      </c>
      <c r="F126" s="6" t="s">
        <v>129</v>
      </c>
      <c r="G126" s="6" t="s">
        <v>1550</v>
      </c>
      <c r="H126" s="6" t="s">
        <v>79</v>
      </c>
      <c r="I126" s="6"/>
    </row>
    <row r="127" customFormat="false" ht="15" hidden="false" customHeight="false" outlineLevel="0" collapsed="false">
      <c r="A127" s="6" t="s">
        <v>1896</v>
      </c>
      <c r="B127" s="6" t="s">
        <v>281</v>
      </c>
      <c r="C127" s="6" t="s">
        <v>282</v>
      </c>
      <c r="D127" s="6" t="s">
        <v>1897</v>
      </c>
      <c r="E127" s="6" t="s">
        <v>1898</v>
      </c>
      <c r="F127" s="6" t="s">
        <v>129</v>
      </c>
      <c r="G127" s="6" t="s">
        <v>1550</v>
      </c>
      <c r="H127" s="6" t="s">
        <v>79</v>
      </c>
      <c r="I127" s="6"/>
    </row>
    <row r="128" customFormat="false" ht="15" hidden="false" customHeight="false" outlineLevel="0" collapsed="false">
      <c r="A128" s="6" t="s">
        <v>1899</v>
      </c>
      <c r="B128" s="6" t="s">
        <v>374</v>
      </c>
      <c r="C128" s="6" t="s">
        <v>400</v>
      </c>
      <c r="D128" s="6" t="s">
        <v>1900</v>
      </c>
      <c r="E128" s="6" t="s">
        <v>1901</v>
      </c>
      <c r="F128" s="6" t="s">
        <v>129</v>
      </c>
      <c r="G128" s="6" t="s">
        <v>1902</v>
      </c>
      <c r="H128" s="6" t="s">
        <v>75</v>
      </c>
      <c r="I128" s="6"/>
    </row>
    <row r="129" customFormat="false" ht="15" hidden="false" customHeight="false" outlineLevel="0" collapsed="false">
      <c r="A129" s="6" t="s">
        <v>1903</v>
      </c>
      <c r="B129" s="6" t="s">
        <v>374</v>
      </c>
      <c r="C129" s="6" t="s">
        <v>401</v>
      </c>
      <c r="D129" s="6" t="s">
        <v>1904</v>
      </c>
      <c r="E129" s="6" t="s">
        <v>1905</v>
      </c>
      <c r="F129" s="6" t="s">
        <v>129</v>
      </c>
      <c r="G129" s="6" t="s">
        <v>1906</v>
      </c>
      <c r="H129" s="6" t="s">
        <v>76</v>
      </c>
      <c r="I129" s="6"/>
    </row>
    <row r="130" customFormat="false" ht="15" hidden="false" customHeight="false" outlineLevel="0" collapsed="false">
      <c r="A130" s="6" t="s">
        <v>1907</v>
      </c>
      <c r="B130" s="6" t="s">
        <v>224</v>
      </c>
      <c r="C130" s="6" t="s">
        <v>225</v>
      </c>
      <c r="D130" s="6" t="s">
        <v>1908</v>
      </c>
      <c r="E130" s="6" t="s">
        <v>1909</v>
      </c>
      <c r="F130" s="6" t="s">
        <v>129</v>
      </c>
      <c r="G130" s="6" t="s">
        <v>1910</v>
      </c>
      <c r="H130" s="6" t="s">
        <v>79</v>
      </c>
      <c r="I130" s="6"/>
    </row>
    <row r="131" customFormat="false" ht="15" hidden="false" customHeight="false" outlineLevel="0" collapsed="false">
      <c r="A131" s="6" t="s">
        <v>1911</v>
      </c>
      <c r="B131" s="6" t="s">
        <v>222</v>
      </c>
      <c r="C131" s="6" t="s">
        <v>223</v>
      </c>
      <c r="D131" s="6" t="s">
        <v>1912</v>
      </c>
      <c r="E131" s="6" t="s">
        <v>1913</v>
      </c>
      <c r="F131" s="6" t="s">
        <v>129</v>
      </c>
      <c r="G131" s="6" t="s">
        <v>1550</v>
      </c>
      <c r="H131" s="6" t="s">
        <v>79</v>
      </c>
      <c r="I131" s="6"/>
    </row>
    <row r="132" customFormat="false" ht="15" hidden="false" customHeight="false" outlineLevel="0" collapsed="false">
      <c r="A132" s="6" t="s">
        <v>1914</v>
      </c>
      <c r="B132" s="6" t="s">
        <v>126</v>
      </c>
      <c r="C132" s="6" t="s">
        <v>127</v>
      </c>
      <c r="D132" s="6" t="s">
        <v>1915</v>
      </c>
      <c r="E132" s="6" t="s">
        <v>1916</v>
      </c>
      <c r="F132" s="6" t="s">
        <v>129</v>
      </c>
      <c r="G132" s="6" t="s">
        <v>1917</v>
      </c>
      <c r="H132" s="6" t="s">
        <v>74</v>
      </c>
      <c r="I132" s="6"/>
    </row>
    <row r="133" customFormat="false" ht="15" hidden="false" customHeight="false" outlineLevel="0" collapsed="false">
      <c r="A133" s="6" t="s">
        <v>1918</v>
      </c>
      <c r="B133" s="6" t="s">
        <v>126</v>
      </c>
      <c r="C133" s="6" t="s">
        <v>127</v>
      </c>
      <c r="D133" s="6" t="s">
        <v>1919</v>
      </c>
      <c r="E133" s="6" t="s">
        <v>1920</v>
      </c>
      <c r="F133" s="6" t="s">
        <v>129</v>
      </c>
      <c r="G133" s="6" t="s">
        <v>1921</v>
      </c>
      <c r="H133" s="6" t="s">
        <v>77</v>
      </c>
      <c r="I133" s="6"/>
    </row>
    <row r="134" customFormat="false" ht="15" hidden="false" customHeight="false" outlineLevel="0" collapsed="false">
      <c r="A134" s="6" t="s">
        <v>1922</v>
      </c>
      <c r="B134" s="6" t="s">
        <v>126</v>
      </c>
      <c r="C134" s="6" t="s">
        <v>127</v>
      </c>
      <c r="D134" s="6" t="s">
        <v>1923</v>
      </c>
      <c r="E134" s="6" t="s">
        <v>1924</v>
      </c>
      <c r="F134" s="6" t="s">
        <v>129</v>
      </c>
      <c r="G134" s="6" t="s">
        <v>1925</v>
      </c>
      <c r="H134" s="6" t="s">
        <v>76</v>
      </c>
      <c r="I134" s="6"/>
    </row>
    <row r="135" customFormat="false" ht="15" hidden="false" customHeight="false" outlineLevel="0" collapsed="false">
      <c r="A135" s="6" t="s">
        <v>1926</v>
      </c>
      <c r="B135" s="6" t="s">
        <v>126</v>
      </c>
      <c r="C135" s="6" t="s">
        <v>127</v>
      </c>
      <c r="D135" s="6" t="s">
        <v>1927</v>
      </c>
      <c r="E135" s="6" t="s">
        <v>1928</v>
      </c>
      <c r="F135" s="6" t="s">
        <v>129</v>
      </c>
      <c r="G135" s="6" t="s">
        <v>1550</v>
      </c>
      <c r="H135" s="6" t="s">
        <v>79</v>
      </c>
      <c r="I135" s="6"/>
    </row>
    <row r="136" customFormat="false" ht="15" hidden="false" customHeight="false" outlineLevel="0" collapsed="false">
      <c r="A136" s="6" t="s">
        <v>1929</v>
      </c>
      <c r="B136" s="6" t="s">
        <v>374</v>
      </c>
      <c r="C136" s="6" t="s">
        <v>386</v>
      </c>
      <c r="D136" s="6" t="s">
        <v>1930</v>
      </c>
      <c r="E136" s="6" t="s">
        <v>1931</v>
      </c>
      <c r="F136" s="6" t="s">
        <v>129</v>
      </c>
      <c r="G136" s="6" t="s">
        <v>1932</v>
      </c>
      <c r="H136" s="6" t="s">
        <v>71</v>
      </c>
      <c r="I136" s="6"/>
    </row>
    <row r="137" customFormat="false" ht="15" hidden="false" customHeight="false" outlineLevel="0" collapsed="false">
      <c r="A137" s="6" t="s">
        <v>1933</v>
      </c>
      <c r="B137" s="6" t="s">
        <v>374</v>
      </c>
      <c r="C137" s="6" t="s">
        <v>402</v>
      </c>
      <c r="D137" s="6" t="s">
        <v>1934</v>
      </c>
      <c r="E137" s="6" t="s">
        <v>1935</v>
      </c>
      <c r="F137" s="6" t="s">
        <v>129</v>
      </c>
      <c r="G137" s="6" t="s">
        <v>1936</v>
      </c>
      <c r="H137" s="6" t="s">
        <v>75</v>
      </c>
      <c r="I137" s="6"/>
    </row>
    <row r="138" customFormat="false" ht="15" hidden="false" customHeight="false" outlineLevel="0" collapsed="false">
      <c r="A138" s="6" t="s">
        <v>1937</v>
      </c>
      <c r="B138" s="6" t="s">
        <v>374</v>
      </c>
      <c r="C138" s="6" t="s">
        <v>403</v>
      </c>
      <c r="D138" s="6" t="s">
        <v>1938</v>
      </c>
      <c r="E138" s="6" t="s">
        <v>1939</v>
      </c>
      <c r="F138" s="6" t="s">
        <v>129</v>
      </c>
      <c r="G138" s="6" t="s">
        <v>1940</v>
      </c>
      <c r="H138" s="6" t="s">
        <v>79</v>
      </c>
      <c r="I138" s="6"/>
    </row>
    <row r="139" customFormat="false" ht="15" hidden="false" customHeight="false" outlineLevel="0" collapsed="false">
      <c r="A139" s="6" t="s">
        <v>1941</v>
      </c>
      <c r="B139" s="6" t="s">
        <v>374</v>
      </c>
      <c r="C139" s="6" t="s">
        <v>404</v>
      </c>
      <c r="D139" s="6" t="s">
        <v>1942</v>
      </c>
      <c r="E139" s="6" t="s">
        <v>1943</v>
      </c>
      <c r="F139" s="6" t="s">
        <v>129</v>
      </c>
      <c r="G139" s="6" t="s">
        <v>1944</v>
      </c>
      <c r="H139" s="6" t="s">
        <v>78</v>
      </c>
      <c r="I139" s="6"/>
    </row>
    <row r="140" customFormat="false" ht="15" hidden="false" customHeight="false" outlineLevel="0" collapsed="false">
      <c r="A140" s="6" t="s">
        <v>1945</v>
      </c>
      <c r="B140" s="6" t="s">
        <v>374</v>
      </c>
      <c r="C140" s="6" t="s">
        <v>405</v>
      </c>
      <c r="D140" s="6" t="s">
        <v>1946</v>
      </c>
      <c r="E140" s="6" t="s">
        <v>1947</v>
      </c>
      <c r="F140" s="6" t="s">
        <v>129</v>
      </c>
      <c r="G140" s="6" t="s">
        <v>1948</v>
      </c>
      <c r="H140" s="6" t="s">
        <v>74</v>
      </c>
      <c r="I140" s="6"/>
    </row>
    <row r="141" customFormat="false" ht="15" hidden="false" customHeight="false" outlineLevel="0" collapsed="false">
      <c r="A141" s="6" t="s">
        <v>1949</v>
      </c>
      <c r="B141" s="6" t="s">
        <v>374</v>
      </c>
      <c r="C141" s="6" t="s">
        <v>406</v>
      </c>
      <c r="D141" s="6" t="s">
        <v>1950</v>
      </c>
      <c r="E141" s="6" t="s">
        <v>1951</v>
      </c>
      <c r="F141" s="6" t="s">
        <v>129</v>
      </c>
      <c r="G141" s="6" t="s">
        <v>1952</v>
      </c>
      <c r="H141" s="6" t="s">
        <v>75</v>
      </c>
      <c r="I141" s="6"/>
    </row>
    <row r="142" customFormat="false" ht="15" hidden="false" customHeight="false" outlineLevel="0" collapsed="false">
      <c r="A142" s="6" t="s">
        <v>1953</v>
      </c>
      <c r="B142" s="6" t="s">
        <v>374</v>
      </c>
      <c r="C142" s="6" t="s">
        <v>407</v>
      </c>
      <c r="D142" s="6" t="s">
        <v>1954</v>
      </c>
      <c r="E142" s="6" t="s">
        <v>1955</v>
      </c>
      <c r="F142" s="6" t="s">
        <v>129</v>
      </c>
      <c r="G142" s="6" t="s">
        <v>1948</v>
      </c>
      <c r="H142" s="6" t="s">
        <v>74</v>
      </c>
      <c r="I142" s="6"/>
    </row>
    <row r="143" customFormat="false" ht="15" hidden="false" customHeight="false" outlineLevel="0" collapsed="false">
      <c r="A143" s="6" t="s">
        <v>1956</v>
      </c>
      <c r="B143" s="6" t="s">
        <v>374</v>
      </c>
      <c r="C143" s="6" t="s">
        <v>408</v>
      </c>
      <c r="D143" s="6" t="s">
        <v>1957</v>
      </c>
      <c r="E143" s="6" t="s">
        <v>1958</v>
      </c>
      <c r="F143" s="6" t="s">
        <v>129</v>
      </c>
      <c r="G143" s="6" t="s">
        <v>1959</v>
      </c>
      <c r="H143" s="6" t="s">
        <v>71</v>
      </c>
      <c r="I143" s="6"/>
    </row>
    <row r="144" customFormat="false" ht="15" hidden="false" customHeight="false" outlineLevel="0" collapsed="false">
      <c r="A144" s="6" t="s">
        <v>1960</v>
      </c>
      <c r="B144" s="6" t="s">
        <v>374</v>
      </c>
      <c r="C144" s="6" t="s">
        <v>409</v>
      </c>
      <c r="D144" s="6" t="s">
        <v>1961</v>
      </c>
      <c r="E144" s="6" t="s">
        <v>1962</v>
      </c>
      <c r="F144" s="6" t="s">
        <v>129</v>
      </c>
      <c r="G144" s="6" t="s">
        <v>1550</v>
      </c>
      <c r="H144" s="6" t="s">
        <v>79</v>
      </c>
      <c r="I144" s="6"/>
    </row>
    <row r="145" customFormat="false" ht="15" hidden="false" customHeight="false" outlineLevel="0" collapsed="false">
      <c r="A145" s="6" t="s">
        <v>1963</v>
      </c>
      <c r="B145" s="6" t="s">
        <v>194</v>
      </c>
      <c r="C145" s="6" t="s">
        <v>195</v>
      </c>
      <c r="D145" s="6" t="s">
        <v>1964</v>
      </c>
      <c r="E145" s="6" t="s">
        <v>1965</v>
      </c>
      <c r="F145" s="6" t="s">
        <v>129</v>
      </c>
      <c r="G145" s="6" t="s">
        <v>1550</v>
      </c>
      <c r="H145" s="6" t="s">
        <v>79</v>
      </c>
      <c r="I145" s="6"/>
    </row>
    <row r="146" customFormat="false" ht="15" hidden="false" customHeight="false" outlineLevel="0" collapsed="false">
      <c r="A146" s="6" t="s">
        <v>1966</v>
      </c>
      <c r="B146" s="6" t="s">
        <v>374</v>
      </c>
      <c r="C146" s="6" t="s">
        <v>410</v>
      </c>
      <c r="D146" s="6" t="s">
        <v>1967</v>
      </c>
      <c r="E146" s="6" t="s">
        <v>1968</v>
      </c>
      <c r="F146" s="6" t="s">
        <v>129</v>
      </c>
      <c r="G146" s="6" t="s">
        <v>1550</v>
      </c>
      <c r="H146" s="6" t="s">
        <v>79</v>
      </c>
      <c r="I146" s="6"/>
    </row>
    <row r="147" customFormat="false" ht="15" hidden="false" customHeight="false" outlineLevel="0" collapsed="false">
      <c r="A147" s="6" t="s">
        <v>1969</v>
      </c>
      <c r="B147" s="6" t="s">
        <v>203</v>
      </c>
      <c r="C147" s="6" t="s">
        <v>204</v>
      </c>
      <c r="D147" s="6" t="s">
        <v>1970</v>
      </c>
      <c r="E147" s="6" t="s">
        <v>1971</v>
      </c>
      <c r="F147" s="6" t="s">
        <v>129</v>
      </c>
      <c r="G147" s="6" t="s">
        <v>1972</v>
      </c>
      <c r="H147" s="6" t="s">
        <v>76</v>
      </c>
      <c r="I147" s="6"/>
    </row>
    <row r="148" customFormat="false" ht="15" hidden="false" customHeight="false" outlineLevel="0" collapsed="false">
      <c r="A148" s="6" t="s">
        <v>1973</v>
      </c>
      <c r="B148" s="6" t="s">
        <v>374</v>
      </c>
      <c r="C148" s="6" t="s">
        <v>411</v>
      </c>
      <c r="D148" s="6" t="s">
        <v>1974</v>
      </c>
      <c r="E148" s="6" t="s">
        <v>1975</v>
      </c>
      <c r="F148" s="6" t="s">
        <v>129</v>
      </c>
      <c r="G148" s="6" t="s">
        <v>1550</v>
      </c>
      <c r="H148" s="6" t="s">
        <v>79</v>
      </c>
      <c r="I148" s="6"/>
    </row>
    <row r="149" customFormat="false" ht="15" hidden="false" customHeight="false" outlineLevel="0" collapsed="false">
      <c r="A149" s="6" t="s">
        <v>1976</v>
      </c>
      <c r="B149" s="6" t="s">
        <v>206</v>
      </c>
      <c r="C149" s="6" t="s">
        <v>207</v>
      </c>
      <c r="D149" s="6" t="s">
        <v>1977</v>
      </c>
      <c r="E149" s="6" t="s">
        <v>1978</v>
      </c>
      <c r="F149" s="6" t="s">
        <v>129</v>
      </c>
      <c r="G149" s="6" t="s">
        <v>1979</v>
      </c>
      <c r="H149" s="6" t="s">
        <v>73</v>
      </c>
      <c r="I149" s="6"/>
    </row>
    <row r="150" customFormat="false" ht="15" hidden="false" customHeight="false" outlineLevel="0" collapsed="false">
      <c r="A150" s="6" t="s">
        <v>1980</v>
      </c>
      <c r="B150" s="6" t="s">
        <v>169</v>
      </c>
      <c r="C150" s="6" t="s">
        <v>170</v>
      </c>
      <c r="D150" s="6" t="s">
        <v>1981</v>
      </c>
      <c r="E150" s="6" t="s">
        <v>1982</v>
      </c>
      <c r="F150" s="6" t="s">
        <v>129</v>
      </c>
      <c r="G150" s="6" t="s">
        <v>1983</v>
      </c>
      <c r="H150" s="6" t="s">
        <v>78</v>
      </c>
      <c r="I150" s="6"/>
    </row>
    <row r="151" customFormat="false" ht="15" hidden="false" customHeight="false" outlineLevel="0" collapsed="false">
      <c r="A151" s="6" t="s">
        <v>1984</v>
      </c>
      <c r="B151" s="6" t="s">
        <v>173</v>
      </c>
      <c r="C151" s="6" t="s">
        <v>174</v>
      </c>
      <c r="D151" s="6" t="s">
        <v>1985</v>
      </c>
      <c r="E151" s="6" t="s">
        <v>1986</v>
      </c>
      <c r="F151" s="6" t="s">
        <v>129</v>
      </c>
      <c r="G151" s="6" t="s">
        <v>1987</v>
      </c>
      <c r="H151" s="6" t="s">
        <v>76</v>
      </c>
      <c r="I151" s="6"/>
    </row>
    <row r="152" customFormat="false" ht="15" hidden="false" customHeight="false" outlineLevel="0" collapsed="false">
      <c r="A152" s="6" t="s">
        <v>1988</v>
      </c>
      <c r="B152" s="6" t="s">
        <v>169</v>
      </c>
      <c r="C152" s="6" t="s">
        <v>170</v>
      </c>
      <c r="D152" s="6" t="s">
        <v>1989</v>
      </c>
      <c r="E152" s="6" t="s">
        <v>1990</v>
      </c>
      <c r="F152" s="6" t="s">
        <v>129</v>
      </c>
      <c r="G152" s="6" t="s">
        <v>1550</v>
      </c>
      <c r="H152" s="6" t="s">
        <v>79</v>
      </c>
      <c r="I152" s="6"/>
    </row>
    <row r="153" customFormat="false" ht="15" hidden="false" customHeight="false" outlineLevel="0" collapsed="false">
      <c r="A153" s="6" t="s">
        <v>1991</v>
      </c>
      <c r="B153" s="6" t="s">
        <v>156</v>
      </c>
      <c r="C153" s="6" t="s">
        <v>157</v>
      </c>
      <c r="D153" s="6" t="s">
        <v>1492</v>
      </c>
      <c r="E153" s="6" t="s">
        <v>1992</v>
      </c>
      <c r="F153" s="6" t="s">
        <v>129</v>
      </c>
      <c r="G153" s="6" t="s">
        <v>1550</v>
      </c>
      <c r="H153" s="6" t="s">
        <v>79</v>
      </c>
      <c r="I153" s="6"/>
    </row>
    <row r="154" customFormat="false" ht="15" hidden="false" customHeight="false" outlineLevel="0" collapsed="false">
      <c r="A154" s="6" t="s">
        <v>1993</v>
      </c>
      <c r="B154" s="6" t="s">
        <v>206</v>
      </c>
      <c r="C154" s="6" t="s">
        <v>207</v>
      </c>
      <c r="D154" s="6" t="s">
        <v>1994</v>
      </c>
      <c r="E154" s="6" t="s">
        <v>1995</v>
      </c>
      <c r="F154" s="6" t="s">
        <v>129</v>
      </c>
      <c r="G154" s="6" t="s">
        <v>1996</v>
      </c>
      <c r="H154" s="6" t="s">
        <v>71</v>
      </c>
      <c r="I154" s="6"/>
    </row>
    <row r="155" customFormat="false" ht="15" hidden="false" customHeight="false" outlineLevel="0" collapsed="false">
      <c r="A155" s="6" t="s">
        <v>1997</v>
      </c>
      <c r="B155" s="6" t="s">
        <v>156</v>
      </c>
      <c r="C155" s="6" t="s">
        <v>157</v>
      </c>
      <c r="D155" s="6" t="s">
        <v>1998</v>
      </c>
      <c r="E155" s="6" t="s">
        <v>1999</v>
      </c>
      <c r="F155" s="6" t="s">
        <v>129</v>
      </c>
      <c r="G155" s="6" t="s">
        <v>2000</v>
      </c>
      <c r="H155" s="6" t="s">
        <v>78</v>
      </c>
      <c r="I155" s="6"/>
    </row>
    <row r="156" customFormat="false" ht="15" hidden="false" customHeight="false" outlineLevel="0" collapsed="false">
      <c r="A156" s="6" t="s">
        <v>2001</v>
      </c>
      <c r="B156" s="6" t="s">
        <v>200</v>
      </c>
      <c r="C156" s="6" t="s">
        <v>201</v>
      </c>
      <c r="D156" s="6" t="s">
        <v>2002</v>
      </c>
      <c r="E156" s="6" t="s">
        <v>2003</v>
      </c>
      <c r="F156" s="6" t="s">
        <v>129</v>
      </c>
      <c r="G156" s="6" t="s">
        <v>1843</v>
      </c>
      <c r="H156" s="6" t="s">
        <v>71</v>
      </c>
      <c r="I156" s="6"/>
    </row>
    <row r="157" customFormat="false" ht="15" hidden="false" customHeight="false" outlineLevel="0" collapsed="false">
      <c r="A157" s="6" t="s">
        <v>2004</v>
      </c>
      <c r="B157" s="6" t="s">
        <v>197</v>
      </c>
      <c r="C157" s="6" t="s">
        <v>198</v>
      </c>
      <c r="D157" s="6" t="s">
        <v>2005</v>
      </c>
      <c r="E157" s="6" t="s">
        <v>2006</v>
      </c>
      <c r="F157" s="6" t="s">
        <v>129</v>
      </c>
      <c r="G157" s="6" t="s">
        <v>2007</v>
      </c>
      <c r="H157" s="6" t="s">
        <v>73</v>
      </c>
      <c r="I157" s="6"/>
    </row>
    <row r="158" customFormat="false" ht="15" hidden="false" customHeight="false" outlineLevel="0" collapsed="false">
      <c r="A158" s="6" t="s">
        <v>2008</v>
      </c>
      <c r="B158" s="6" t="s">
        <v>239</v>
      </c>
      <c r="C158" s="6" t="s">
        <v>240</v>
      </c>
      <c r="D158" s="6" t="s">
        <v>2009</v>
      </c>
      <c r="E158" s="6" t="s">
        <v>2010</v>
      </c>
      <c r="F158" s="6" t="s">
        <v>129</v>
      </c>
      <c r="G158" s="6" t="s">
        <v>2011</v>
      </c>
      <c r="H158" s="6" t="s">
        <v>74</v>
      </c>
      <c r="I158" s="6"/>
    </row>
    <row r="159" customFormat="false" ht="15" hidden="false" customHeight="false" outlineLevel="0" collapsed="false">
      <c r="A159" s="6" t="s">
        <v>2012</v>
      </c>
      <c r="B159" s="6" t="s">
        <v>267</v>
      </c>
      <c r="C159" s="6" t="s">
        <v>268</v>
      </c>
      <c r="D159" s="6" t="s">
        <v>2013</v>
      </c>
      <c r="E159" s="6" t="s">
        <v>2014</v>
      </c>
      <c r="F159" s="6" t="s">
        <v>129</v>
      </c>
      <c r="G159" s="6" t="s">
        <v>1550</v>
      </c>
      <c r="H159" s="6" t="s">
        <v>79</v>
      </c>
      <c r="I159" s="6"/>
    </row>
    <row r="160" customFormat="false" ht="15" hidden="false" customHeight="false" outlineLevel="0" collapsed="false">
      <c r="A160" s="6" t="s">
        <v>2015</v>
      </c>
      <c r="B160" s="6" t="s">
        <v>248</v>
      </c>
      <c r="C160" s="6" t="s">
        <v>249</v>
      </c>
      <c r="D160" s="6" t="s">
        <v>1688</v>
      </c>
      <c r="E160" s="6" t="s">
        <v>2016</v>
      </c>
      <c r="F160" s="6" t="s">
        <v>129</v>
      </c>
      <c r="G160" s="6" t="s">
        <v>1550</v>
      </c>
      <c r="H160" s="6" t="s">
        <v>79</v>
      </c>
      <c r="I160" s="6"/>
    </row>
    <row r="161" customFormat="false" ht="15" hidden="false" customHeight="false" outlineLevel="0" collapsed="false">
      <c r="A161" s="6" t="s">
        <v>2017</v>
      </c>
      <c r="B161" s="6" t="s">
        <v>267</v>
      </c>
      <c r="C161" s="6" t="s">
        <v>268</v>
      </c>
      <c r="D161" s="6" t="s">
        <v>1954</v>
      </c>
      <c r="E161" s="6" t="s">
        <v>2018</v>
      </c>
      <c r="F161" s="6" t="s">
        <v>129</v>
      </c>
      <c r="G161" s="6" t="s">
        <v>2019</v>
      </c>
      <c r="H161" s="6" t="s">
        <v>74</v>
      </c>
      <c r="I161" s="6"/>
    </row>
    <row r="162" customFormat="false" ht="15" hidden="false" customHeight="false" outlineLevel="0" collapsed="false">
      <c r="A162" s="6" t="s">
        <v>2020</v>
      </c>
      <c r="B162" s="6" t="s">
        <v>267</v>
      </c>
      <c r="C162" s="6" t="s">
        <v>268</v>
      </c>
      <c r="D162" s="6" t="s">
        <v>2021</v>
      </c>
      <c r="E162" s="6" t="s">
        <v>2022</v>
      </c>
      <c r="F162" s="6" t="s">
        <v>129</v>
      </c>
      <c r="G162" s="6" t="s">
        <v>2023</v>
      </c>
      <c r="H162" s="6" t="s">
        <v>74</v>
      </c>
      <c r="I162" s="6"/>
    </row>
    <row r="163" customFormat="false" ht="15" hidden="false" customHeight="false" outlineLevel="0" collapsed="false">
      <c r="A163" s="6" t="s">
        <v>2024</v>
      </c>
      <c r="B163" s="6" t="s">
        <v>267</v>
      </c>
      <c r="C163" s="6" t="s">
        <v>268</v>
      </c>
      <c r="D163" s="6" t="s">
        <v>2025</v>
      </c>
      <c r="E163" s="6" t="s">
        <v>2026</v>
      </c>
      <c r="F163" s="6" t="s">
        <v>129</v>
      </c>
      <c r="G163" s="6" t="s">
        <v>2027</v>
      </c>
      <c r="H163" s="6" t="s">
        <v>75</v>
      </c>
      <c r="I163" s="6"/>
    </row>
    <row r="164" customFormat="false" ht="15" hidden="false" customHeight="false" outlineLevel="0" collapsed="false">
      <c r="A164" s="6" t="s">
        <v>2028</v>
      </c>
      <c r="B164" s="6" t="s">
        <v>251</v>
      </c>
      <c r="C164" s="6" t="s">
        <v>252</v>
      </c>
      <c r="D164" s="6" t="s">
        <v>2029</v>
      </c>
      <c r="E164" s="6" t="s">
        <v>2030</v>
      </c>
      <c r="F164" s="6" t="s">
        <v>129</v>
      </c>
      <c r="G164" s="6" t="s">
        <v>2031</v>
      </c>
      <c r="H164" s="6" t="s">
        <v>78</v>
      </c>
      <c r="I164" s="6"/>
    </row>
    <row r="165" customFormat="false" ht="15" hidden="false" customHeight="false" outlineLevel="0" collapsed="false">
      <c r="A165" s="6" t="s">
        <v>2032</v>
      </c>
      <c r="B165" s="6" t="s">
        <v>293</v>
      </c>
      <c r="C165" s="6" t="s">
        <v>2033</v>
      </c>
      <c r="D165" s="6" t="s">
        <v>2034</v>
      </c>
      <c r="E165" s="6" t="s">
        <v>2035</v>
      </c>
      <c r="F165" s="6" t="s">
        <v>129</v>
      </c>
      <c r="G165" s="6" t="s">
        <v>2036</v>
      </c>
      <c r="H165" s="6" t="s">
        <v>74</v>
      </c>
      <c r="I165" s="6"/>
    </row>
    <row r="166" customFormat="false" ht="15" hidden="false" customHeight="false" outlineLevel="0" collapsed="false">
      <c r="A166" s="6" t="s">
        <v>2037</v>
      </c>
      <c r="B166" s="6" t="s">
        <v>139</v>
      </c>
      <c r="C166" s="6" t="s">
        <v>2038</v>
      </c>
      <c r="D166" s="6" t="s">
        <v>2039</v>
      </c>
      <c r="E166" s="6" t="s">
        <v>2040</v>
      </c>
      <c r="F166" s="6" t="s">
        <v>129</v>
      </c>
      <c r="G166" s="6" t="s">
        <v>1550</v>
      </c>
      <c r="H166" s="6" t="s">
        <v>79</v>
      </c>
      <c r="I166" s="6"/>
    </row>
    <row r="167" customFormat="false" ht="15" hidden="false" customHeight="false" outlineLevel="0" collapsed="false">
      <c r="A167" s="6" t="s">
        <v>2041</v>
      </c>
      <c r="B167" s="6" t="s">
        <v>139</v>
      </c>
      <c r="C167" s="6" t="s">
        <v>2038</v>
      </c>
      <c r="D167" s="6" t="s">
        <v>2042</v>
      </c>
      <c r="E167" s="6" t="s">
        <v>2043</v>
      </c>
      <c r="F167" s="6" t="s">
        <v>129</v>
      </c>
      <c r="G167" s="6" t="s">
        <v>1550</v>
      </c>
      <c r="H167" s="6" t="s">
        <v>79</v>
      </c>
      <c r="I167" s="6"/>
    </row>
    <row r="168" customFormat="false" ht="15" hidden="false" customHeight="false" outlineLevel="0" collapsed="false">
      <c r="A168" s="6" t="s">
        <v>2044</v>
      </c>
      <c r="B168" s="6" t="s">
        <v>298</v>
      </c>
      <c r="C168" s="6" t="s">
        <v>299</v>
      </c>
      <c r="D168" s="6" t="s">
        <v>2045</v>
      </c>
      <c r="E168" s="6" t="s">
        <v>2046</v>
      </c>
      <c r="F168" s="6" t="s">
        <v>129</v>
      </c>
      <c r="G168" s="6" t="s">
        <v>1550</v>
      </c>
      <c r="H168" s="6" t="s">
        <v>79</v>
      </c>
      <c r="I168" s="6"/>
    </row>
    <row r="169" customFormat="false" ht="15" hidden="false" customHeight="false" outlineLevel="0" collapsed="false">
      <c r="A169" s="6" t="s">
        <v>2047</v>
      </c>
      <c r="B169" s="6" t="s">
        <v>139</v>
      </c>
      <c r="C169" s="6" t="s">
        <v>2038</v>
      </c>
      <c r="D169" s="6" t="s">
        <v>2048</v>
      </c>
      <c r="E169" s="6" t="s">
        <v>2049</v>
      </c>
      <c r="F169" s="6" t="s">
        <v>129</v>
      </c>
      <c r="G169" s="6" t="s">
        <v>2050</v>
      </c>
      <c r="H169" s="6" t="s">
        <v>75</v>
      </c>
      <c r="I169" s="6"/>
    </row>
    <row r="170" customFormat="false" ht="15" hidden="false" customHeight="false" outlineLevel="0" collapsed="false">
      <c r="A170" s="6" t="s">
        <v>2051</v>
      </c>
      <c r="B170" s="6" t="s">
        <v>139</v>
      </c>
      <c r="C170" s="6" t="s">
        <v>2038</v>
      </c>
      <c r="D170" s="6" t="s">
        <v>2052</v>
      </c>
      <c r="E170" s="6" t="s">
        <v>2053</v>
      </c>
      <c r="F170" s="6" t="s">
        <v>129</v>
      </c>
      <c r="G170" s="6" t="s">
        <v>1550</v>
      </c>
      <c r="H170" s="6" t="s">
        <v>79</v>
      </c>
      <c r="I170" s="6"/>
    </row>
    <row r="171" customFormat="false" ht="15" hidden="false" customHeight="false" outlineLevel="0" collapsed="false">
      <c r="A171" s="6" t="s">
        <v>2054</v>
      </c>
      <c r="B171" s="6" t="s">
        <v>298</v>
      </c>
      <c r="C171" s="6" t="s">
        <v>299</v>
      </c>
      <c r="D171" s="6" t="s">
        <v>2055</v>
      </c>
      <c r="E171" s="6" t="s">
        <v>2056</v>
      </c>
      <c r="F171" s="6" t="s">
        <v>129</v>
      </c>
      <c r="G171" s="6" t="s">
        <v>1550</v>
      </c>
      <c r="H171" s="6" t="s">
        <v>79</v>
      </c>
      <c r="I171" s="6"/>
    </row>
    <row r="172" customFormat="false" ht="15" hidden="false" customHeight="false" outlineLevel="0" collapsed="false">
      <c r="A172" s="6" t="s">
        <v>2057</v>
      </c>
      <c r="B172" s="6" t="s">
        <v>298</v>
      </c>
      <c r="C172" s="6" t="s">
        <v>299</v>
      </c>
      <c r="D172" s="6" t="s">
        <v>2058</v>
      </c>
      <c r="E172" s="6" t="s">
        <v>2059</v>
      </c>
      <c r="F172" s="6" t="s">
        <v>129</v>
      </c>
      <c r="G172" s="6" t="s">
        <v>1550</v>
      </c>
      <c r="H172" s="6" t="s">
        <v>79</v>
      </c>
      <c r="I172" s="6"/>
    </row>
    <row r="173" customFormat="false" ht="15" hidden="false" customHeight="false" outlineLevel="0" collapsed="false">
      <c r="A173" s="6" t="s">
        <v>2060</v>
      </c>
      <c r="B173" s="6" t="s">
        <v>160</v>
      </c>
      <c r="C173" s="6" t="s">
        <v>161</v>
      </c>
      <c r="D173" s="6" t="s">
        <v>2061</v>
      </c>
      <c r="E173" s="6" t="s">
        <v>2062</v>
      </c>
      <c r="F173" s="6" t="s">
        <v>129</v>
      </c>
      <c r="G173" s="6" t="s">
        <v>2063</v>
      </c>
      <c r="H173" s="6" t="s">
        <v>71</v>
      </c>
      <c r="I173" s="6"/>
    </row>
    <row r="174" customFormat="false" ht="15" hidden="false" customHeight="false" outlineLevel="0" collapsed="false">
      <c r="A174" s="6" t="s">
        <v>2064</v>
      </c>
      <c r="B174" s="6" t="s">
        <v>214</v>
      </c>
      <c r="C174" s="6" t="s">
        <v>215</v>
      </c>
      <c r="D174" s="6" t="s">
        <v>2065</v>
      </c>
      <c r="E174" s="6" t="s">
        <v>2066</v>
      </c>
      <c r="F174" s="6" t="s">
        <v>129</v>
      </c>
      <c r="G174" s="6" t="s">
        <v>2067</v>
      </c>
      <c r="H174" s="6" t="s">
        <v>71</v>
      </c>
      <c r="I174" s="6"/>
    </row>
    <row r="175" customFormat="false" ht="15" hidden="false" customHeight="false" outlineLevel="0" collapsed="false">
      <c r="A175" s="6" t="s">
        <v>2068</v>
      </c>
      <c r="B175" s="6" t="s">
        <v>374</v>
      </c>
      <c r="C175" s="6" t="s">
        <v>412</v>
      </c>
      <c r="D175" s="6" t="s">
        <v>2069</v>
      </c>
      <c r="E175" s="6" t="s">
        <v>2070</v>
      </c>
      <c r="F175" s="6" t="s">
        <v>129</v>
      </c>
      <c r="G175" s="6" t="s">
        <v>2071</v>
      </c>
      <c r="H175" s="6" t="s">
        <v>76</v>
      </c>
      <c r="I175" s="6"/>
    </row>
    <row r="176" customFormat="false" ht="15" hidden="false" customHeight="false" outlineLevel="0" collapsed="false">
      <c r="A176" s="6" t="s">
        <v>2072</v>
      </c>
      <c r="B176" s="6" t="s">
        <v>374</v>
      </c>
      <c r="C176" s="6" t="s">
        <v>413</v>
      </c>
      <c r="D176" s="6" t="s">
        <v>2073</v>
      </c>
      <c r="E176" s="6" t="s">
        <v>2074</v>
      </c>
      <c r="F176" s="6" t="s">
        <v>129</v>
      </c>
      <c r="G176" s="6" t="s">
        <v>2075</v>
      </c>
      <c r="H176" s="6" t="s">
        <v>71</v>
      </c>
      <c r="I176" s="6"/>
    </row>
    <row r="177" customFormat="false" ht="15" hidden="false" customHeight="false" outlineLevel="0" collapsed="false">
      <c r="A177" s="6" t="s">
        <v>2076</v>
      </c>
      <c r="B177" s="6" t="s">
        <v>374</v>
      </c>
      <c r="C177" s="6" t="s">
        <v>414</v>
      </c>
      <c r="D177" s="6" t="s">
        <v>2077</v>
      </c>
      <c r="E177" s="6" t="s">
        <v>2078</v>
      </c>
      <c r="F177" s="6" t="s">
        <v>129</v>
      </c>
      <c r="G177" s="6" t="s">
        <v>2079</v>
      </c>
      <c r="H177" s="6" t="s">
        <v>75</v>
      </c>
      <c r="I177" s="6"/>
    </row>
    <row r="178" customFormat="false" ht="15" hidden="false" customHeight="false" outlineLevel="0" collapsed="false">
      <c r="A178" s="6" t="s">
        <v>2080</v>
      </c>
      <c r="B178" s="6" t="s">
        <v>160</v>
      </c>
      <c r="C178" s="6" t="s">
        <v>161</v>
      </c>
      <c r="D178" s="6" t="s">
        <v>2081</v>
      </c>
      <c r="E178" s="6" t="s">
        <v>2082</v>
      </c>
      <c r="F178" s="6" t="s">
        <v>129</v>
      </c>
      <c r="G178" s="6" t="s">
        <v>2083</v>
      </c>
      <c r="H178" s="6" t="s">
        <v>72</v>
      </c>
      <c r="I178" s="6"/>
    </row>
    <row r="179" customFormat="false" ht="15" hidden="false" customHeight="false" outlineLevel="0" collapsed="false">
      <c r="A179" s="6" t="s">
        <v>2084</v>
      </c>
      <c r="B179" s="6" t="s">
        <v>222</v>
      </c>
      <c r="C179" s="6" t="s">
        <v>223</v>
      </c>
      <c r="D179" s="6" t="s">
        <v>2085</v>
      </c>
      <c r="E179" s="6" t="s">
        <v>1583</v>
      </c>
      <c r="F179" s="6" t="s">
        <v>129</v>
      </c>
      <c r="G179" s="6" t="s">
        <v>2086</v>
      </c>
      <c r="H179" s="6" t="s">
        <v>76</v>
      </c>
      <c r="I179" s="6"/>
    </row>
    <row r="180" customFormat="false" ht="15" hidden="false" customHeight="false" outlineLevel="0" collapsed="false">
      <c r="A180" s="6" t="s">
        <v>2087</v>
      </c>
      <c r="B180" s="6" t="s">
        <v>222</v>
      </c>
      <c r="C180" s="6" t="s">
        <v>223</v>
      </c>
      <c r="D180" s="6" t="s">
        <v>2088</v>
      </c>
      <c r="E180" s="6" t="s">
        <v>2089</v>
      </c>
      <c r="F180" s="6" t="s">
        <v>129</v>
      </c>
      <c r="G180" s="6" t="s">
        <v>1550</v>
      </c>
      <c r="H180" s="6" t="s">
        <v>79</v>
      </c>
      <c r="I180" s="6"/>
    </row>
    <row r="181" customFormat="false" ht="15" hidden="false" customHeight="false" outlineLevel="0" collapsed="false">
      <c r="A181" s="6" t="s">
        <v>2090</v>
      </c>
      <c r="B181" s="6" t="s">
        <v>222</v>
      </c>
      <c r="C181" s="6" t="s">
        <v>223</v>
      </c>
      <c r="D181" s="6" t="s">
        <v>2091</v>
      </c>
      <c r="E181" s="6" t="s">
        <v>2092</v>
      </c>
      <c r="F181" s="6" t="s">
        <v>129</v>
      </c>
      <c r="G181" s="6" t="s">
        <v>1550</v>
      </c>
      <c r="H181" s="6" t="s">
        <v>79</v>
      </c>
      <c r="I181" s="6"/>
    </row>
    <row r="182" customFormat="false" ht="15" hidden="false" customHeight="false" outlineLevel="0" collapsed="false">
      <c r="A182" s="6" t="s">
        <v>2093</v>
      </c>
      <c r="B182" s="6" t="s">
        <v>230</v>
      </c>
      <c r="C182" s="6" t="s">
        <v>231</v>
      </c>
      <c r="D182" s="6" t="s">
        <v>2094</v>
      </c>
      <c r="E182" s="6" t="s">
        <v>2095</v>
      </c>
      <c r="F182" s="6" t="s">
        <v>129</v>
      </c>
      <c r="G182" s="6" t="s">
        <v>1550</v>
      </c>
      <c r="H182" s="6" t="s">
        <v>79</v>
      </c>
      <c r="I182" s="6"/>
    </row>
    <row r="183" customFormat="false" ht="15" hidden="false" customHeight="false" outlineLevel="0" collapsed="false">
      <c r="A183" s="6" t="s">
        <v>2096</v>
      </c>
      <c r="B183" s="6" t="s">
        <v>291</v>
      </c>
      <c r="C183" s="6" t="s">
        <v>292</v>
      </c>
      <c r="D183" s="6" t="s">
        <v>2097</v>
      </c>
      <c r="E183" s="6" t="s">
        <v>2098</v>
      </c>
      <c r="F183" s="6" t="s">
        <v>129</v>
      </c>
      <c r="G183" s="6" t="s">
        <v>2099</v>
      </c>
      <c r="H183" s="6" t="s">
        <v>74</v>
      </c>
      <c r="I183" s="6"/>
    </row>
    <row r="184" customFormat="false" ht="15" hidden="false" customHeight="false" outlineLevel="0" collapsed="false">
      <c r="A184" s="6" t="s">
        <v>2100</v>
      </c>
      <c r="B184" s="6" t="s">
        <v>291</v>
      </c>
      <c r="C184" s="6" t="s">
        <v>292</v>
      </c>
      <c r="D184" s="6" t="s">
        <v>2101</v>
      </c>
      <c r="E184" s="6" t="s">
        <v>2102</v>
      </c>
      <c r="F184" s="6" t="s">
        <v>129</v>
      </c>
      <c r="G184" s="6" t="s">
        <v>1550</v>
      </c>
      <c r="H184" s="6" t="s">
        <v>79</v>
      </c>
      <c r="I184" s="6"/>
    </row>
    <row r="185" customFormat="false" ht="15" hidden="false" customHeight="false" outlineLevel="0" collapsed="false">
      <c r="A185" s="6" t="s">
        <v>2103</v>
      </c>
      <c r="B185" s="6" t="s">
        <v>158</v>
      </c>
      <c r="C185" s="6" t="s">
        <v>159</v>
      </c>
      <c r="D185" s="6" t="s">
        <v>2104</v>
      </c>
      <c r="E185" s="6" t="s">
        <v>2105</v>
      </c>
      <c r="F185" s="6" t="s">
        <v>129</v>
      </c>
      <c r="G185" s="6" t="s">
        <v>2106</v>
      </c>
      <c r="H185" s="6" t="s">
        <v>76</v>
      </c>
      <c r="I185" s="6"/>
    </row>
    <row r="186" customFormat="false" ht="15" hidden="false" customHeight="false" outlineLevel="0" collapsed="false">
      <c r="A186" s="6" t="s">
        <v>2107</v>
      </c>
      <c r="B186" s="6" t="s">
        <v>158</v>
      </c>
      <c r="C186" s="6" t="s">
        <v>159</v>
      </c>
      <c r="D186" s="6" t="s">
        <v>2108</v>
      </c>
      <c r="E186" s="6" t="s">
        <v>2109</v>
      </c>
      <c r="F186" s="6" t="s">
        <v>129</v>
      </c>
      <c r="G186" s="6" t="s">
        <v>2110</v>
      </c>
      <c r="H186" s="6" t="s">
        <v>74</v>
      </c>
      <c r="I186" s="6"/>
    </row>
    <row r="187" customFormat="false" ht="15" hidden="false" customHeight="false" outlineLevel="0" collapsed="false">
      <c r="A187" s="6" t="s">
        <v>2111</v>
      </c>
      <c r="B187" s="6" t="s">
        <v>203</v>
      </c>
      <c r="C187" s="6" t="s">
        <v>204</v>
      </c>
      <c r="D187" s="6" t="s">
        <v>2112</v>
      </c>
      <c r="E187" s="6" t="s">
        <v>2113</v>
      </c>
      <c r="F187" s="6" t="s">
        <v>129</v>
      </c>
      <c r="G187" s="6" t="s">
        <v>1550</v>
      </c>
      <c r="H187" s="6" t="s">
        <v>79</v>
      </c>
      <c r="I187" s="6"/>
    </row>
    <row r="188" customFormat="false" ht="15" hidden="false" customHeight="false" outlineLevel="0" collapsed="false">
      <c r="A188" s="6" t="s">
        <v>2114</v>
      </c>
      <c r="B188" s="6" t="s">
        <v>258</v>
      </c>
      <c r="C188" s="6" t="s">
        <v>259</v>
      </c>
      <c r="D188" s="6" t="s">
        <v>2115</v>
      </c>
      <c r="E188" s="6" t="s">
        <v>2116</v>
      </c>
      <c r="F188" s="6" t="s">
        <v>129</v>
      </c>
      <c r="G188" s="6" t="s">
        <v>2117</v>
      </c>
      <c r="H188" s="6" t="s">
        <v>73</v>
      </c>
      <c r="I188" s="6"/>
    </row>
    <row r="189" customFormat="false" ht="15" hidden="false" customHeight="false" outlineLevel="0" collapsed="false">
      <c r="A189" s="6" t="s">
        <v>2118</v>
      </c>
      <c r="B189" s="6" t="s">
        <v>158</v>
      </c>
      <c r="C189" s="6" t="s">
        <v>159</v>
      </c>
      <c r="D189" s="6" t="s">
        <v>2119</v>
      </c>
      <c r="E189" s="6" t="s">
        <v>2120</v>
      </c>
      <c r="F189" s="6" t="s">
        <v>129</v>
      </c>
      <c r="G189" s="6" t="s">
        <v>1932</v>
      </c>
      <c r="H189" s="6" t="s">
        <v>71</v>
      </c>
      <c r="I189" s="6"/>
    </row>
    <row r="190" customFormat="false" ht="15" hidden="false" customHeight="false" outlineLevel="0" collapsed="false">
      <c r="A190" s="6" t="s">
        <v>2121</v>
      </c>
      <c r="B190" s="6" t="s">
        <v>158</v>
      </c>
      <c r="C190" s="6" t="s">
        <v>159</v>
      </c>
      <c r="D190" s="6" t="s">
        <v>2122</v>
      </c>
      <c r="E190" s="6" t="s">
        <v>2123</v>
      </c>
      <c r="F190" s="6" t="s">
        <v>129</v>
      </c>
      <c r="G190" s="6" t="s">
        <v>1932</v>
      </c>
      <c r="H190" s="6" t="s">
        <v>71</v>
      </c>
      <c r="I190" s="6"/>
    </row>
    <row r="191" customFormat="false" ht="15" hidden="false" customHeight="false" outlineLevel="0" collapsed="false">
      <c r="A191" s="6" t="s">
        <v>2124</v>
      </c>
      <c r="B191" s="6" t="s">
        <v>143</v>
      </c>
      <c r="C191" s="6" t="s">
        <v>508</v>
      </c>
      <c r="D191" s="6" t="s">
        <v>2125</v>
      </c>
      <c r="E191" s="6" t="s">
        <v>2126</v>
      </c>
      <c r="F191" s="6" t="s">
        <v>129</v>
      </c>
      <c r="G191" s="6" t="s">
        <v>1932</v>
      </c>
      <c r="H191" s="6" t="s">
        <v>71</v>
      </c>
      <c r="I191" s="6"/>
    </row>
    <row r="192" customFormat="false" ht="15" hidden="false" customHeight="false" outlineLevel="0" collapsed="false">
      <c r="A192" s="6" t="s">
        <v>2127</v>
      </c>
      <c r="B192" s="6" t="s">
        <v>143</v>
      </c>
      <c r="C192" s="6" t="s">
        <v>508</v>
      </c>
      <c r="D192" s="6" t="s">
        <v>2128</v>
      </c>
      <c r="E192" s="6" t="s">
        <v>2129</v>
      </c>
      <c r="F192" s="6" t="s">
        <v>129</v>
      </c>
      <c r="G192" s="6" t="s">
        <v>2130</v>
      </c>
      <c r="H192" s="6" t="s">
        <v>77</v>
      </c>
      <c r="I192" s="6"/>
    </row>
    <row r="193" customFormat="false" ht="15" hidden="false" customHeight="false" outlineLevel="0" collapsed="false">
      <c r="A193" s="6" t="s">
        <v>2131</v>
      </c>
      <c r="B193" s="6" t="s">
        <v>248</v>
      </c>
      <c r="C193" s="6" t="s">
        <v>249</v>
      </c>
      <c r="D193" s="6" t="s">
        <v>1667</v>
      </c>
      <c r="E193" s="6" t="s">
        <v>1668</v>
      </c>
      <c r="F193" s="6" t="s">
        <v>129</v>
      </c>
      <c r="G193" s="6" t="s">
        <v>2132</v>
      </c>
      <c r="H193" s="6" t="s">
        <v>73</v>
      </c>
      <c r="I193" s="6"/>
    </row>
    <row r="194" customFormat="false" ht="15" hidden="false" customHeight="false" outlineLevel="0" collapsed="false">
      <c r="A194" s="6" t="s">
        <v>2133</v>
      </c>
      <c r="B194" s="6" t="s">
        <v>248</v>
      </c>
      <c r="C194" s="6" t="s">
        <v>249</v>
      </c>
      <c r="D194" s="6" t="s">
        <v>2134</v>
      </c>
      <c r="E194" s="6" t="s">
        <v>2135</v>
      </c>
      <c r="F194" s="6" t="s">
        <v>129</v>
      </c>
      <c r="G194" s="6" t="s">
        <v>1932</v>
      </c>
      <c r="H194" s="6" t="s">
        <v>71</v>
      </c>
      <c r="I194" s="6"/>
    </row>
    <row r="195" customFormat="false" ht="15" hidden="false" customHeight="false" outlineLevel="0" collapsed="false">
      <c r="A195" s="6" t="s">
        <v>2136</v>
      </c>
      <c r="B195" s="6" t="s">
        <v>176</v>
      </c>
      <c r="C195" s="6" t="s">
        <v>177</v>
      </c>
      <c r="D195" s="6" t="s">
        <v>2137</v>
      </c>
      <c r="E195" s="6" t="s">
        <v>2138</v>
      </c>
      <c r="F195" s="6" t="s">
        <v>129</v>
      </c>
      <c r="G195" s="6" t="s">
        <v>2139</v>
      </c>
      <c r="H195" s="6" t="s">
        <v>74</v>
      </c>
      <c r="I195" s="6"/>
    </row>
    <row r="196" customFormat="false" ht="15" hidden="false" customHeight="false" outlineLevel="0" collapsed="false">
      <c r="A196" s="6" t="s">
        <v>2140</v>
      </c>
      <c r="B196" s="6" t="s">
        <v>136</v>
      </c>
      <c r="C196" s="6" t="s">
        <v>886</v>
      </c>
      <c r="D196" s="6" t="s">
        <v>2141</v>
      </c>
      <c r="E196" s="6" t="s">
        <v>2142</v>
      </c>
      <c r="F196" s="6" t="s">
        <v>129</v>
      </c>
      <c r="G196" s="6" t="s">
        <v>2143</v>
      </c>
      <c r="H196" s="6" t="s">
        <v>74</v>
      </c>
      <c r="I196" s="6"/>
    </row>
    <row r="197" customFormat="false" ht="15" hidden="false" customHeight="false" outlineLevel="0" collapsed="false">
      <c r="A197" s="6" t="s">
        <v>2144</v>
      </c>
      <c r="B197" s="6" t="s">
        <v>136</v>
      </c>
      <c r="C197" s="6" t="s">
        <v>886</v>
      </c>
      <c r="D197" s="6" t="s">
        <v>2145</v>
      </c>
      <c r="E197" s="6" t="s">
        <v>2146</v>
      </c>
      <c r="F197" s="6" t="s">
        <v>129</v>
      </c>
      <c r="G197" s="6" t="s">
        <v>1550</v>
      </c>
      <c r="H197" s="6" t="s">
        <v>79</v>
      </c>
      <c r="I197" s="6"/>
    </row>
    <row r="198" customFormat="false" ht="15" hidden="false" customHeight="false" outlineLevel="0" collapsed="false">
      <c r="A198" s="6" t="s">
        <v>2147</v>
      </c>
      <c r="B198" s="6" t="s">
        <v>136</v>
      </c>
      <c r="C198" s="6" t="s">
        <v>886</v>
      </c>
      <c r="D198" s="6" t="s">
        <v>2148</v>
      </c>
      <c r="E198" s="6" t="s">
        <v>2149</v>
      </c>
      <c r="F198" s="6" t="s">
        <v>129</v>
      </c>
      <c r="G198" s="6" t="s">
        <v>1550</v>
      </c>
      <c r="H198" s="6" t="s">
        <v>79</v>
      </c>
      <c r="I198" s="6"/>
    </row>
    <row r="199" customFormat="false" ht="15" hidden="false" customHeight="false" outlineLevel="0" collapsed="false">
      <c r="A199" s="6" t="s">
        <v>2150</v>
      </c>
      <c r="B199" s="6" t="s">
        <v>374</v>
      </c>
      <c r="C199" s="6" t="s">
        <v>415</v>
      </c>
      <c r="D199" s="6" t="s">
        <v>2151</v>
      </c>
      <c r="E199" s="6" t="s">
        <v>2152</v>
      </c>
      <c r="F199" s="6" t="s">
        <v>129</v>
      </c>
      <c r="G199" s="6" t="s">
        <v>1550</v>
      </c>
      <c r="H199" s="6" t="s">
        <v>79</v>
      </c>
      <c r="I199" s="6"/>
    </row>
    <row r="200" customFormat="false" ht="15" hidden="false" customHeight="false" outlineLevel="0" collapsed="false">
      <c r="A200" s="6" t="s">
        <v>2153</v>
      </c>
      <c r="B200" s="6" t="s">
        <v>374</v>
      </c>
      <c r="C200" s="6" t="s">
        <v>416</v>
      </c>
      <c r="D200" s="6" t="s">
        <v>2154</v>
      </c>
      <c r="E200" s="6" t="s">
        <v>2155</v>
      </c>
      <c r="F200" s="6" t="s">
        <v>129</v>
      </c>
      <c r="G200" s="6" t="s">
        <v>1550</v>
      </c>
      <c r="H200" s="6" t="s">
        <v>79</v>
      </c>
      <c r="I200" s="6"/>
    </row>
    <row r="201" customFormat="false" ht="15" hidden="false" customHeight="false" outlineLevel="0" collapsed="false">
      <c r="A201" s="6" t="s">
        <v>2156</v>
      </c>
      <c r="B201" s="6" t="s">
        <v>374</v>
      </c>
      <c r="C201" s="6" t="s">
        <v>417</v>
      </c>
      <c r="D201" s="6" t="s">
        <v>2157</v>
      </c>
      <c r="E201" s="6" t="s">
        <v>2158</v>
      </c>
      <c r="F201" s="6" t="s">
        <v>129</v>
      </c>
      <c r="G201" s="6" t="s">
        <v>2159</v>
      </c>
      <c r="H201" s="6" t="s">
        <v>73</v>
      </c>
      <c r="I201" s="6"/>
    </row>
    <row r="202" customFormat="false" ht="15" hidden="false" customHeight="false" outlineLevel="0" collapsed="false">
      <c r="A202" s="6" t="s">
        <v>2160</v>
      </c>
      <c r="B202" s="6" t="s">
        <v>374</v>
      </c>
      <c r="C202" s="6" t="s">
        <v>418</v>
      </c>
      <c r="D202" s="6" t="s">
        <v>2161</v>
      </c>
      <c r="E202" s="6" t="s">
        <v>2162</v>
      </c>
      <c r="F202" s="6" t="s">
        <v>129</v>
      </c>
      <c r="G202" s="6" t="s">
        <v>2163</v>
      </c>
      <c r="H202" s="6" t="s">
        <v>73</v>
      </c>
      <c r="I202" s="6"/>
    </row>
    <row r="203" customFormat="false" ht="15" hidden="false" customHeight="false" outlineLevel="0" collapsed="false">
      <c r="A203" s="6" t="s">
        <v>2164</v>
      </c>
      <c r="B203" s="6" t="s">
        <v>374</v>
      </c>
      <c r="C203" s="6" t="s">
        <v>390</v>
      </c>
      <c r="D203" s="6" t="s">
        <v>2165</v>
      </c>
      <c r="E203" s="6" t="s">
        <v>2166</v>
      </c>
      <c r="F203" s="6" t="s">
        <v>129</v>
      </c>
      <c r="G203" s="6" t="s">
        <v>2167</v>
      </c>
      <c r="H203" s="6" t="s">
        <v>77</v>
      </c>
      <c r="I203" s="6" t="s">
        <v>1519</v>
      </c>
    </row>
    <row r="204" customFormat="false" ht="15" hidden="false" customHeight="false" outlineLevel="0" collapsed="false">
      <c r="A204" s="6" t="s">
        <v>2168</v>
      </c>
      <c r="B204" s="6" t="s">
        <v>374</v>
      </c>
      <c r="C204" s="6" t="s">
        <v>419</v>
      </c>
      <c r="D204" s="6" t="s">
        <v>2169</v>
      </c>
      <c r="E204" s="6" t="s">
        <v>2170</v>
      </c>
      <c r="F204" s="6" t="s">
        <v>129</v>
      </c>
      <c r="G204" s="6" t="s">
        <v>1550</v>
      </c>
      <c r="H204" s="6" t="s">
        <v>79</v>
      </c>
      <c r="I204" s="6"/>
    </row>
    <row r="205" customFormat="false" ht="15" hidden="false" customHeight="false" outlineLevel="0" collapsed="false">
      <c r="A205" s="6" t="s">
        <v>2171</v>
      </c>
      <c r="B205" s="6" t="s">
        <v>374</v>
      </c>
      <c r="C205" s="6" t="s">
        <v>420</v>
      </c>
      <c r="D205" s="6" t="s">
        <v>2172</v>
      </c>
      <c r="E205" s="6" t="s">
        <v>2173</v>
      </c>
      <c r="F205" s="6" t="s">
        <v>129</v>
      </c>
      <c r="G205" s="6" t="s">
        <v>1932</v>
      </c>
      <c r="H205" s="6" t="s">
        <v>71</v>
      </c>
      <c r="I205" s="6" t="s">
        <v>2174</v>
      </c>
    </row>
    <row r="206" customFormat="false" ht="15" hidden="false" customHeight="false" outlineLevel="0" collapsed="false">
      <c r="A206" s="6" t="s">
        <v>2175</v>
      </c>
      <c r="B206" s="6" t="s">
        <v>374</v>
      </c>
      <c r="C206" s="6" t="s">
        <v>421</v>
      </c>
      <c r="D206" s="6" t="s">
        <v>2176</v>
      </c>
      <c r="E206" s="6" t="s">
        <v>2177</v>
      </c>
      <c r="F206" s="6" t="s">
        <v>129</v>
      </c>
      <c r="G206" s="6" t="s">
        <v>2178</v>
      </c>
      <c r="H206" s="6" t="s">
        <v>75</v>
      </c>
      <c r="I206" s="6"/>
    </row>
    <row r="207" customFormat="false" ht="15" hidden="false" customHeight="false" outlineLevel="0" collapsed="false">
      <c r="A207" s="6" t="s">
        <v>2179</v>
      </c>
      <c r="B207" s="6" t="s">
        <v>374</v>
      </c>
      <c r="C207" s="6" t="s">
        <v>421</v>
      </c>
      <c r="D207" s="6" t="s">
        <v>2180</v>
      </c>
      <c r="E207" s="6" t="s">
        <v>2181</v>
      </c>
      <c r="F207" s="6" t="s">
        <v>129</v>
      </c>
      <c r="G207" s="6" t="s">
        <v>1550</v>
      </c>
      <c r="H207" s="6" t="s">
        <v>79</v>
      </c>
      <c r="I207" s="6"/>
    </row>
    <row r="208" customFormat="false" ht="15" hidden="false" customHeight="false" outlineLevel="0" collapsed="false">
      <c r="A208" s="6" t="s">
        <v>2182</v>
      </c>
      <c r="B208" s="6" t="s">
        <v>374</v>
      </c>
      <c r="C208" s="6" t="s">
        <v>422</v>
      </c>
      <c r="D208" s="6" t="s">
        <v>2183</v>
      </c>
      <c r="E208" s="6" t="s">
        <v>2184</v>
      </c>
      <c r="F208" s="6" t="s">
        <v>129</v>
      </c>
      <c r="G208" s="6" t="s">
        <v>2185</v>
      </c>
      <c r="H208" s="6" t="s">
        <v>73</v>
      </c>
      <c r="I208" s="6" t="s">
        <v>2186</v>
      </c>
    </row>
    <row r="209" customFormat="false" ht="15" hidden="false" customHeight="false" outlineLevel="0" collapsed="false">
      <c r="A209" s="6" t="s">
        <v>2187</v>
      </c>
      <c r="B209" s="6" t="s">
        <v>374</v>
      </c>
      <c r="C209" s="6" t="s">
        <v>422</v>
      </c>
      <c r="D209" s="6" t="s">
        <v>2188</v>
      </c>
      <c r="E209" s="6" t="s">
        <v>2189</v>
      </c>
      <c r="F209" s="6" t="s">
        <v>129</v>
      </c>
      <c r="G209" s="6" t="s">
        <v>2190</v>
      </c>
      <c r="H209" s="6" t="s">
        <v>73</v>
      </c>
      <c r="I209" s="6" t="s">
        <v>2186</v>
      </c>
    </row>
    <row r="210" customFormat="false" ht="15" hidden="false" customHeight="false" outlineLevel="0" collapsed="false">
      <c r="A210" s="6" t="s">
        <v>2191</v>
      </c>
      <c r="B210" s="6" t="s">
        <v>374</v>
      </c>
      <c r="C210" s="6" t="s">
        <v>423</v>
      </c>
      <c r="D210" s="6" t="s">
        <v>2192</v>
      </c>
      <c r="E210" s="6" t="s">
        <v>2193</v>
      </c>
      <c r="F210" s="6" t="s">
        <v>129</v>
      </c>
      <c r="G210" s="6" t="s">
        <v>1550</v>
      </c>
      <c r="H210" s="6" t="s">
        <v>79</v>
      </c>
      <c r="I210" s="6" t="s">
        <v>2194</v>
      </c>
    </row>
    <row r="211" customFormat="false" ht="15" hidden="false" customHeight="false" outlineLevel="0" collapsed="false">
      <c r="A211" s="6" t="s">
        <v>2195</v>
      </c>
      <c r="B211" s="6" t="s">
        <v>374</v>
      </c>
      <c r="C211" s="6" t="s">
        <v>420</v>
      </c>
      <c r="D211" s="6" t="s">
        <v>2196</v>
      </c>
      <c r="E211" s="6" t="s">
        <v>2197</v>
      </c>
      <c r="F211" s="6" t="s">
        <v>129</v>
      </c>
      <c r="G211" s="6" t="s">
        <v>2198</v>
      </c>
      <c r="H211" s="6" t="s">
        <v>75</v>
      </c>
      <c r="I211" s="6" t="s">
        <v>2174</v>
      </c>
    </row>
    <row r="212" customFormat="false" ht="15" hidden="false" customHeight="false" outlineLevel="0" collapsed="false">
      <c r="A212" s="6" t="s">
        <v>2199</v>
      </c>
      <c r="B212" s="6" t="s">
        <v>374</v>
      </c>
      <c r="C212" s="6" t="s">
        <v>423</v>
      </c>
      <c r="D212" s="6" t="s">
        <v>2200</v>
      </c>
      <c r="E212" s="6" t="s">
        <v>2201</v>
      </c>
      <c r="F212" s="6" t="s">
        <v>129</v>
      </c>
      <c r="G212" s="6" t="s">
        <v>1550</v>
      </c>
      <c r="H212" s="6" t="s">
        <v>79</v>
      </c>
      <c r="I212" s="6" t="s">
        <v>2194</v>
      </c>
    </row>
    <row r="213" customFormat="false" ht="15" hidden="false" customHeight="false" outlineLevel="0" collapsed="false">
      <c r="A213" s="6" t="s">
        <v>2202</v>
      </c>
      <c r="B213" s="6" t="s">
        <v>374</v>
      </c>
      <c r="C213" s="6" t="s">
        <v>424</v>
      </c>
      <c r="D213" s="6" t="s">
        <v>2203</v>
      </c>
      <c r="E213" s="6" t="s">
        <v>2204</v>
      </c>
      <c r="F213" s="6" t="s">
        <v>129</v>
      </c>
      <c r="G213" s="6" t="s">
        <v>1932</v>
      </c>
      <c r="H213" s="6" t="s">
        <v>71</v>
      </c>
      <c r="I213" s="6"/>
    </row>
    <row r="214" customFormat="false" ht="15" hidden="false" customHeight="false" outlineLevel="0" collapsed="false">
      <c r="A214" s="6" t="s">
        <v>2205</v>
      </c>
      <c r="B214" s="6" t="s">
        <v>374</v>
      </c>
      <c r="C214" s="6" t="s">
        <v>425</v>
      </c>
      <c r="D214" s="6" t="s">
        <v>2206</v>
      </c>
      <c r="E214" s="6" t="s">
        <v>2207</v>
      </c>
      <c r="F214" s="6" t="s">
        <v>129</v>
      </c>
      <c r="G214" s="6" t="s">
        <v>1932</v>
      </c>
      <c r="H214" s="6" t="s">
        <v>71</v>
      </c>
      <c r="I214" s="6"/>
    </row>
    <row r="215" customFormat="false" ht="15" hidden="false" customHeight="false" outlineLevel="0" collapsed="false">
      <c r="A215" s="6" t="s">
        <v>2208</v>
      </c>
      <c r="B215" s="6" t="s">
        <v>327</v>
      </c>
      <c r="C215" s="6" t="s">
        <v>328</v>
      </c>
      <c r="D215" s="6" t="s">
        <v>2209</v>
      </c>
      <c r="E215" s="6" t="s">
        <v>2210</v>
      </c>
      <c r="F215" s="6" t="s">
        <v>129</v>
      </c>
      <c r="G215" s="6" t="s">
        <v>2211</v>
      </c>
      <c r="H215" s="6" t="s">
        <v>76</v>
      </c>
      <c r="I215" s="6"/>
    </row>
    <row r="216" customFormat="false" ht="15" hidden="false" customHeight="false" outlineLevel="0" collapsed="false">
      <c r="A216" s="6" t="s">
        <v>2212</v>
      </c>
      <c r="B216" s="6" t="s">
        <v>305</v>
      </c>
      <c r="C216" s="6" t="s">
        <v>306</v>
      </c>
      <c r="D216" s="6" t="s">
        <v>2213</v>
      </c>
      <c r="E216" s="6" t="s">
        <v>2214</v>
      </c>
      <c r="F216" s="6" t="s">
        <v>129</v>
      </c>
      <c r="G216" s="6" t="s">
        <v>1550</v>
      </c>
      <c r="H216" s="6" t="s">
        <v>79</v>
      </c>
      <c r="I216" s="6"/>
    </row>
    <row r="217" customFormat="false" ht="15" hidden="false" customHeight="false" outlineLevel="0" collapsed="false">
      <c r="A217" s="6" t="s">
        <v>2215</v>
      </c>
      <c r="B217" s="6" t="s">
        <v>305</v>
      </c>
      <c r="C217" s="6" t="s">
        <v>306</v>
      </c>
      <c r="D217" s="6" t="s">
        <v>2216</v>
      </c>
      <c r="E217" s="6" t="s">
        <v>2217</v>
      </c>
      <c r="F217" s="6" t="s">
        <v>129</v>
      </c>
      <c r="G217" s="6" t="s">
        <v>2218</v>
      </c>
      <c r="H217" s="6" t="s">
        <v>71</v>
      </c>
      <c r="I217" s="6"/>
    </row>
    <row r="218" customFormat="false" ht="15" hidden="false" customHeight="false" outlineLevel="0" collapsed="false">
      <c r="A218" s="6" t="s">
        <v>2219</v>
      </c>
      <c r="B218" s="6" t="s">
        <v>374</v>
      </c>
      <c r="C218" s="6" t="s">
        <v>426</v>
      </c>
      <c r="D218" s="6" t="s">
        <v>2220</v>
      </c>
      <c r="E218" s="6" t="s">
        <v>2221</v>
      </c>
      <c r="F218" s="6" t="s">
        <v>129</v>
      </c>
      <c r="G218" s="6" t="s">
        <v>2222</v>
      </c>
      <c r="H218" s="6" t="s">
        <v>75</v>
      </c>
      <c r="I218" s="6"/>
    </row>
    <row r="219" customFormat="false" ht="15" hidden="false" customHeight="false" outlineLevel="0" collapsed="false">
      <c r="A219" s="6" t="s">
        <v>2223</v>
      </c>
      <c r="B219" s="6" t="s">
        <v>166</v>
      </c>
      <c r="C219" s="6" t="s">
        <v>167</v>
      </c>
      <c r="D219" s="6" t="s">
        <v>2224</v>
      </c>
      <c r="E219" s="6" t="s">
        <v>2225</v>
      </c>
      <c r="F219" s="6" t="s">
        <v>129</v>
      </c>
      <c r="G219" s="6" t="s">
        <v>1550</v>
      </c>
      <c r="H219" s="6" t="s">
        <v>79</v>
      </c>
      <c r="I219" s="6"/>
    </row>
    <row r="220" customFormat="false" ht="15" hidden="false" customHeight="false" outlineLevel="0" collapsed="false">
      <c r="A220" s="6" t="s">
        <v>2226</v>
      </c>
      <c r="B220" s="6" t="s">
        <v>374</v>
      </c>
      <c r="C220" s="6" t="s">
        <v>395</v>
      </c>
      <c r="D220" s="6" t="s">
        <v>2227</v>
      </c>
      <c r="E220" s="6" t="s">
        <v>2228</v>
      </c>
      <c r="F220" s="6" t="s">
        <v>129</v>
      </c>
      <c r="G220" s="6" t="s">
        <v>1550</v>
      </c>
      <c r="H220" s="6" t="s">
        <v>79</v>
      </c>
      <c r="I220" s="6"/>
    </row>
    <row r="221" customFormat="false" ht="15" hidden="false" customHeight="false" outlineLevel="0" collapsed="false">
      <c r="A221" s="6" t="s">
        <v>2229</v>
      </c>
      <c r="B221" s="6" t="s">
        <v>374</v>
      </c>
      <c r="C221" s="6" t="s">
        <v>427</v>
      </c>
      <c r="D221" s="6" t="s">
        <v>2230</v>
      </c>
      <c r="E221" s="6" t="s">
        <v>2231</v>
      </c>
      <c r="F221" s="6" t="s">
        <v>129</v>
      </c>
      <c r="G221" s="6" t="s">
        <v>2232</v>
      </c>
      <c r="H221" s="6" t="s">
        <v>74</v>
      </c>
      <c r="I221" s="6"/>
    </row>
    <row r="222" customFormat="false" ht="15" hidden="false" customHeight="false" outlineLevel="0" collapsed="false">
      <c r="A222" s="6" t="s">
        <v>2233</v>
      </c>
      <c r="B222" s="6" t="s">
        <v>311</v>
      </c>
      <c r="C222" s="6" t="s">
        <v>312</v>
      </c>
      <c r="D222" s="6" t="s">
        <v>2234</v>
      </c>
      <c r="E222" s="6" t="s">
        <v>2235</v>
      </c>
      <c r="F222" s="6" t="s">
        <v>129</v>
      </c>
      <c r="G222" s="6" t="s">
        <v>2236</v>
      </c>
      <c r="H222" s="6" t="s">
        <v>74</v>
      </c>
      <c r="I222" s="6"/>
    </row>
    <row r="223" customFormat="false" ht="15" hidden="false" customHeight="false" outlineLevel="0" collapsed="false">
      <c r="A223" s="6" t="s">
        <v>2237</v>
      </c>
      <c r="B223" s="6" t="s">
        <v>311</v>
      </c>
      <c r="C223" s="6" t="s">
        <v>312</v>
      </c>
      <c r="D223" s="6" t="s">
        <v>2238</v>
      </c>
      <c r="E223" s="6" t="s">
        <v>2239</v>
      </c>
      <c r="F223" s="6" t="s">
        <v>129</v>
      </c>
      <c r="G223" s="6" t="s">
        <v>2240</v>
      </c>
      <c r="H223" s="6" t="s">
        <v>77</v>
      </c>
      <c r="I223" s="6"/>
    </row>
    <row r="224" customFormat="false" ht="15" hidden="false" customHeight="false" outlineLevel="0" collapsed="false">
      <c r="A224" s="6" t="s">
        <v>2241</v>
      </c>
      <c r="B224" s="6" t="s">
        <v>311</v>
      </c>
      <c r="C224" s="6" t="s">
        <v>312</v>
      </c>
      <c r="D224" s="6" t="s">
        <v>2242</v>
      </c>
      <c r="E224" s="6" t="s">
        <v>2243</v>
      </c>
      <c r="F224" s="6" t="s">
        <v>129</v>
      </c>
      <c r="G224" s="6" t="s">
        <v>1550</v>
      </c>
      <c r="H224" s="6" t="s">
        <v>79</v>
      </c>
      <c r="I224" s="6"/>
    </row>
    <row r="225" customFormat="false" ht="15" hidden="false" customHeight="false" outlineLevel="0" collapsed="false">
      <c r="A225" s="6" t="s">
        <v>2244</v>
      </c>
      <c r="B225" s="6" t="s">
        <v>311</v>
      </c>
      <c r="C225" s="6" t="s">
        <v>312</v>
      </c>
      <c r="D225" s="6" t="s">
        <v>2245</v>
      </c>
      <c r="E225" s="6" t="s">
        <v>2246</v>
      </c>
      <c r="F225" s="6" t="s">
        <v>129</v>
      </c>
      <c r="G225" s="6" t="s">
        <v>1550</v>
      </c>
      <c r="H225" s="6" t="s">
        <v>79</v>
      </c>
      <c r="I225" s="6"/>
    </row>
    <row r="226" customFormat="false" ht="15" hidden="false" customHeight="false" outlineLevel="0" collapsed="false">
      <c r="A226" s="6" t="s">
        <v>2247</v>
      </c>
      <c r="B226" s="6" t="s">
        <v>374</v>
      </c>
      <c r="C226" s="6" t="s">
        <v>428</v>
      </c>
      <c r="D226" s="6" t="s">
        <v>1891</v>
      </c>
      <c r="E226" s="6" t="s">
        <v>2248</v>
      </c>
      <c r="F226" s="6" t="s">
        <v>129</v>
      </c>
      <c r="G226" s="6" t="s">
        <v>1550</v>
      </c>
      <c r="H226" s="6" t="s">
        <v>79</v>
      </c>
      <c r="I226" s="6"/>
    </row>
    <row r="227" customFormat="false" ht="15" hidden="false" customHeight="false" outlineLevel="0" collapsed="false">
      <c r="A227" s="6" t="s">
        <v>2249</v>
      </c>
      <c r="B227" s="6" t="s">
        <v>374</v>
      </c>
      <c r="C227" s="6" t="s">
        <v>429</v>
      </c>
      <c r="D227" s="6" t="s">
        <v>2250</v>
      </c>
      <c r="E227" s="6" t="s">
        <v>2251</v>
      </c>
      <c r="F227" s="6" t="s">
        <v>129</v>
      </c>
      <c r="G227" s="6" t="s">
        <v>1550</v>
      </c>
      <c r="H227" s="6" t="s">
        <v>79</v>
      </c>
      <c r="I227"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17" min="3" style="0" width="18"/>
  </cols>
  <sheetData>
    <row r="1" customFormat="false" ht="15" hidden="false" customHeight="false" outlineLevel="0" collapsed="false">
      <c r="A1" s="5" t="s">
        <v>430</v>
      </c>
      <c r="B1" s="5" t="s">
        <v>435</v>
      </c>
      <c r="C1" s="5" t="s">
        <v>431</v>
      </c>
      <c r="D1" s="5" t="s">
        <v>451</v>
      </c>
      <c r="E1" s="5" t="s">
        <v>2252</v>
      </c>
      <c r="F1" s="5" t="s">
        <v>2253</v>
      </c>
      <c r="G1" s="5" t="s">
        <v>2254</v>
      </c>
      <c r="H1" s="5" t="s">
        <v>2255</v>
      </c>
      <c r="I1" s="5" t="s">
        <v>2256</v>
      </c>
      <c r="J1" s="5" t="s">
        <v>2257</v>
      </c>
      <c r="K1" s="5" t="s">
        <v>2258</v>
      </c>
      <c r="L1" s="5" t="s">
        <v>2259</v>
      </c>
      <c r="M1" s="5" t="s">
        <v>2260</v>
      </c>
      <c r="N1" s="5" t="s">
        <v>444</v>
      </c>
      <c r="O1" s="5" t="s">
        <v>2261</v>
      </c>
      <c r="P1" s="5" t="s">
        <v>2262</v>
      </c>
      <c r="Q1" s="5" t="s">
        <v>2263</v>
      </c>
    </row>
    <row r="2" customFormat="false" ht="15" hidden="false" customHeight="false" outlineLevel="0" collapsed="false">
      <c r="A2" s="6" t="s">
        <v>470</v>
      </c>
      <c r="B2" s="6" t="s">
        <v>142</v>
      </c>
      <c r="C2" s="6" t="s">
        <v>141</v>
      </c>
      <c r="D2" s="6" t="s">
        <v>486</v>
      </c>
      <c r="E2" s="6" t="s">
        <v>573</v>
      </c>
      <c r="F2" s="6" t="s">
        <v>573</v>
      </c>
      <c r="G2" s="6" t="s">
        <v>573</v>
      </c>
      <c r="H2" s="6" t="s">
        <v>573</v>
      </c>
      <c r="I2" s="6" t="s">
        <v>2264</v>
      </c>
      <c r="J2" s="6" t="s">
        <v>119</v>
      </c>
      <c r="K2" s="6" t="n">
        <v>8</v>
      </c>
      <c r="L2" s="6" t="s">
        <v>119</v>
      </c>
      <c r="M2" s="6" t="s">
        <v>119</v>
      </c>
      <c r="N2" s="6" t="s">
        <v>480</v>
      </c>
      <c r="O2" s="6" t="s">
        <v>484</v>
      </c>
      <c r="P2" s="6" t="s">
        <v>119</v>
      </c>
      <c r="Q2" s="6" t="s">
        <v>119</v>
      </c>
    </row>
    <row r="3" customFormat="false" ht="15" hidden="false" customHeight="false" outlineLevel="0" collapsed="false">
      <c r="A3" s="6" t="s">
        <v>491</v>
      </c>
      <c r="B3" s="6" t="s">
        <v>142</v>
      </c>
      <c r="C3" s="6" t="s">
        <v>141</v>
      </c>
      <c r="D3" s="6" t="s">
        <v>501</v>
      </c>
      <c r="E3" s="6" t="s">
        <v>573</v>
      </c>
      <c r="F3" s="6" t="s">
        <v>589</v>
      </c>
      <c r="G3" s="6" t="s">
        <v>573</v>
      </c>
      <c r="H3" s="6" t="s">
        <v>2265</v>
      </c>
      <c r="I3" s="6" t="s">
        <v>2264</v>
      </c>
      <c r="J3" s="6" t="s">
        <v>2264</v>
      </c>
      <c r="K3" s="6" t="n">
        <v>8</v>
      </c>
      <c r="L3" s="6" t="s">
        <v>119</v>
      </c>
      <c r="M3" s="6" t="s">
        <v>119</v>
      </c>
      <c r="N3" s="6" t="s">
        <v>480</v>
      </c>
      <c r="O3" s="6" t="s">
        <v>484</v>
      </c>
      <c r="P3" s="6" t="s">
        <v>119</v>
      </c>
      <c r="Q3" s="6" t="s">
        <v>119</v>
      </c>
    </row>
    <row r="4" customFormat="false" ht="15" hidden="false" customHeight="false" outlineLevel="0" collapsed="false">
      <c r="A4" s="6" t="s">
        <v>507</v>
      </c>
      <c r="B4" s="6" t="s">
        <v>508</v>
      </c>
      <c r="C4" s="6" t="s">
        <v>143</v>
      </c>
      <c r="D4" s="6" t="s">
        <v>486</v>
      </c>
      <c r="E4" s="6" t="s">
        <v>589</v>
      </c>
      <c r="F4" s="6" t="s">
        <v>484</v>
      </c>
      <c r="G4" s="6" t="s">
        <v>2266</v>
      </c>
      <c r="H4" s="6" t="s">
        <v>484</v>
      </c>
      <c r="I4" s="6" t="s">
        <v>119</v>
      </c>
      <c r="J4" s="6" t="s">
        <v>2264</v>
      </c>
      <c r="K4" s="6" t="n">
        <v>4</v>
      </c>
      <c r="L4" s="6" t="s">
        <v>2264</v>
      </c>
      <c r="M4" s="6" t="s">
        <v>119</v>
      </c>
      <c r="N4" s="6" t="s">
        <v>480</v>
      </c>
      <c r="O4" s="6" t="s">
        <v>484</v>
      </c>
      <c r="P4" s="6" t="s">
        <v>119</v>
      </c>
      <c r="Q4" s="6" t="s">
        <v>119</v>
      </c>
    </row>
    <row r="5" customFormat="false" ht="15" hidden="false" customHeight="false" outlineLevel="0" collapsed="false">
      <c r="A5" s="6" t="s">
        <v>526</v>
      </c>
      <c r="B5" s="6" t="s">
        <v>159</v>
      </c>
      <c r="C5" s="6" t="s">
        <v>158</v>
      </c>
      <c r="D5" s="6" t="s">
        <v>539</v>
      </c>
      <c r="E5" s="6" t="s">
        <v>2267</v>
      </c>
      <c r="F5" s="6" t="s">
        <v>2267</v>
      </c>
      <c r="G5" s="6" t="s">
        <v>573</v>
      </c>
      <c r="H5" s="6" t="s">
        <v>2265</v>
      </c>
      <c r="I5" s="6" t="s">
        <v>2264</v>
      </c>
      <c r="J5" s="6" t="s">
        <v>2264</v>
      </c>
      <c r="K5" s="6" t="n">
        <v>5</v>
      </c>
      <c r="L5" s="6" t="s">
        <v>119</v>
      </c>
      <c r="M5" s="6" t="s">
        <v>119</v>
      </c>
      <c r="N5" s="6" t="s">
        <v>532</v>
      </c>
      <c r="O5" s="6" t="s">
        <v>484</v>
      </c>
      <c r="P5" s="6" t="s">
        <v>119</v>
      </c>
      <c r="Q5" s="6" t="s">
        <v>119</v>
      </c>
    </row>
    <row r="6" customFormat="false" ht="15" hidden="false" customHeight="false" outlineLevel="0" collapsed="false">
      <c r="A6" s="6" t="s">
        <v>546</v>
      </c>
      <c r="B6" s="6" t="s">
        <v>177</v>
      </c>
      <c r="C6" s="6" t="s">
        <v>176</v>
      </c>
      <c r="D6" s="6" t="s">
        <v>539</v>
      </c>
      <c r="E6" s="6" t="s">
        <v>2267</v>
      </c>
      <c r="F6" s="6" t="s">
        <v>2267</v>
      </c>
      <c r="G6" s="6" t="s">
        <v>484</v>
      </c>
      <c r="H6" s="6" t="s">
        <v>484</v>
      </c>
      <c r="I6" s="6" t="s">
        <v>119</v>
      </c>
      <c r="J6" s="6" t="s">
        <v>2264</v>
      </c>
      <c r="K6" s="6" t="n">
        <v>4</v>
      </c>
      <c r="L6" s="6" t="s">
        <v>2264</v>
      </c>
      <c r="M6" s="6" t="s">
        <v>119</v>
      </c>
      <c r="N6" s="6" t="s">
        <v>480</v>
      </c>
      <c r="O6" s="6" t="s">
        <v>484</v>
      </c>
      <c r="P6" s="6" t="s">
        <v>119</v>
      </c>
      <c r="Q6" s="6" t="s">
        <v>119</v>
      </c>
    </row>
    <row r="7" customFormat="false" ht="15" hidden="false" customHeight="false" outlineLevel="0" collapsed="false">
      <c r="A7" s="6" t="s">
        <v>558</v>
      </c>
      <c r="B7" s="6" t="s">
        <v>191</v>
      </c>
      <c r="C7" s="6" t="s">
        <v>190</v>
      </c>
      <c r="D7" s="6" t="s">
        <v>568</v>
      </c>
      <c r="E7" s="6" t="s">
        <v>2267</v>
      </c>
      <c r="F7" s="6" t="s">
        <v>2267</v>
      </c>
      <c r="G7" s="6" t="s">
        <v>573</v>
      </c>
      <c r="H7" s="6" t="s">
        <v>484</v>
      </c>
      <c r="I7" s="6" t="s">
        <v>119</v>
      </c>
      <c r="J7" s="6" t="s">
        <v>2264</v>
      </c>
      <c r="K7" s="6" t="n">
        <v>5</v>
      </c>
      <c r="L7" s="6" t="s">
        <v>119</v>
      </c>
      <c r="M7" s="6" t="s">
        <v>119</v>
      </c>
      <c r="N7" s="6" t="s">
        <v>480</v>
      </c>
      <c r="O7" s="6" t="s">
        <v>484</v>
      </c>
      <c r="P7" s="6" t="s">
        <v>119</v>
      </c>
      <c r="Q7" s="6" t="s">
        <v>119</v>
      </c>
    </row>
    <row r="8" customFormat="false" ht="15" hidden="false" customHeight="false" outlineLevel="0" collapsed="false">
      <c r="A8" s="6" t="s">
        <v>575</v>
      </c>
      <c r="B8" s="6" t="s">
        <v>191</v>
      </c>
      <c r="C8" s="6" t="s">
        <v>190</v>
      </c>
      <c r="D8" s="6" t="s">
        <v>539</v>
      </c>
      <c r="E8" s="6" t="s">
        <v>2267</v>
      </c>
      <c r="F8" s="6" t="s">
        <v>2267</v>
      </c>
      <c r="G8" s="6" t="s">
        <v>484</v>
      </c>
      <c r="H8" s="6" t="s">
        <v>484</v>
      </c>
      <c r="I8" s="6" t="s">
        <v>119</v>
      </c>
      <c r="J8" s="6" t="s">
        <v>2264</v>
      </c>
      <c r="K8" s="6" t="n">
        <v>5</v>
      </c>
      <c r="L8" s="6" t="s">
        <v>119</v>
      </c>
      <c r="M8" s="6" t="s">
        <v>119</v>
      </c>
      <c r="N8" s="6" t="s">
        <v>480</v>
      </c>
      <c r="O8" s="6" t="s">
        <v>484</v>
      </c>
      <c r="P8" s="6" t="s">
        <v>119</v>
      </c>
      <c r="Q8" s="6" t="s">
        <v>119</v>
      </c>
    </row>
    <row r="9" customFormat="false" ht="15" hidden="false" customHeight="false" outlineLevel="0" collapsed="false">
      <c r="A9" s="6" t="s">
        <v>591</v>
      </c>
      <c r="B9" s="6" t="s">
        <v>188</v>
      </c>
      <c r="C9" s="6" t="s">
        <v>187</v>
      </c>
      <c r="D9" s="6" t="s">
        <v>486</v>
      </c>
      <c r="E9" s="6" t="s">
        <v>573</v>
      </c>
      <c r="F9" s="6" t="s">
        <v>484</v>
      </c>
      <c r="G9" s="6" t="s">
        <v>573</v>
      </c>
      <c r="H9" s="6" t="s">
        <v>484</v>
      </c>
      <c r="I9" s="6" t="s">
        <v>119</v>
      </c>
      <c r="J9" s="6" t="s">
        <v>2264</v>
      </c>
      <c r="K9" s="6"/>
      <c r="L9" s="6" t="s">
        <v>119</v>
      </c>
      <c r="M9" s="6" t="s">
        <v>119</v>
      </c>
      <c r="N9" s="6" t="s">
        <v>480</v>
      </c>
      <c r="O9" s="6" t="s">
        <v>484</v>
      </c>
      <c r="P9" s="6" t="s">
        <v>119</v>
      </c>
      <c r="Q9" s="6" t="s">
        <v>119</v>
      </c>
    </row>
    <row r="10" customFormat="false" ht="15" hidden="false" customHeight="false" outlineLevel="0" collapsed="false">
      <c r="A10" s="6" t="s">
        <v>601</v>
      </c>
      <c r="B10" s="6" t="s">
        <v>375</v>
      </c>
      <c r="C10" s="6" t="s">
        <v>374</v>
      </c>
      <c r="D10" s="6" t="s">
        <v>486</v>
      </c>
      <c r="E10" s="6" t="s">
        <v>2267</v>
      </c>
      <c r="F10" s="6" t="s">
        <v>2267</v>
      </c>
      <c r="G10" s="6" t="s">
        <v>573</v>
      </c>
      <c r="H10" s="6" t="s">
        <v>589</v>
      </c>
      <c r="I10" s="6" t="s">
        <v>2264</v>
      </c>
      <c r="J10" s="6" t="s">
        <v>2264</v>
      </c>
      <c r="K10" s="6" t="n">
        <v>8</v>
      </c>
      <c r="L10" s="6" t="s">
        <v>119</v>
      </c>
      <c r="M10" s="6" t="s">
        <v>119</v>
      </c>
      <c r="N10" s="6" t="s">
        <v>532</v>
      </c>
      <c r="O10" s="6" t="s">
        <v>484</v>
      </c>
      <c r="P10" s="6" t="s">
        <v>119</v>
      </c>
      <c r="Q10" s="6" t="s">
        <v>2264</v>
      </c>
    </row>
    <row r="11" customFormat="false" ht="15" hidden="false" customHeight="false" outlineLevel="0" collapsed="false">
      <c r="A11" s="6" t="s">
        <v>616</v>
      </c>
      <c r="B11" s="6" t="s">
        <v>195</v>
      </c>
      <c r="C11" s="6" t="s">
        <v>194</v>
      </c>
      <c r="D11" s="6" t="s">
        <v>501</v>
      </c>
      <c r="E11" s="6" t="s">
        <v>589</v>
      </c>
      <c r="F11" s="6" t="s">
        <v>589</v>
      </c>
      <c r="G11" s="6" t="s">
        <v>589</v>
      </c>
      <c r="H11" s="6" t="s">
        <v>484</v>
      </c>
      <c r="I11" s="6" t="s">
        <v>119</v>
      </c>
      <c r="J11" s="6" t="s">
        <v>119</v>
      </c>
      <c r="K11" s="6" t="n">
        <v>5</v>
      </c>
      <c r="L11" s="6" t="s">
        <v>119</v>
      </c>
      <c r="M11" s="6" t="s">
        <v>119</v>
      </c>
      <c r="N11" s="6" t="s">
        <v>480</v>
      </c>
      <c r="O11" s="6" t="s">
        <v>484</v>
      </c>
      <c r="P11" s="6" t="s">
        <v>119</v>
      </c>
      <c r="Q11" s="6" t="s">
        <v>119</v>
      </c>
    </row>
    <row r="12" customFormat="false" ht="15" hidden="false" customHeight="false" outlineLevel="0" collapsed="false">
      <c r="A12" s="6" t="s">
        <v>628</v>
      </c>
      <c r="B12" s="6" t="s">
        <v>204</v>
      </c>
      <c r="C12" s="6" t="s">
        <v>203</v>
      </c>
      <c r="D12" s="6" t="s">
        <v>539</v>
      </c>
      <c r="E12" s="6" t="s">
        <v>484</v>
      </c>
      <c r="F12" s="6" t="s">
        <v>2267</v>
      </c>
      <c r="G12" s="6" t="s">
        <v>484</v>
      </c>
      <c r="H12" s="6" t="s">
        <v>484</v>
      </c>
      <c r="I12" s="6" t="s">
        <v>119</v>
      </c>
      <c r="J12" s="6" t="s">
        <v>2264</v>
      </c>
      <c r="K12" s="6" t="n">
        <v>6</v>
      </c>
      <c r="L12" s="6" t="s">
        <v>119</v>
      </c>
      <c r="M12" s="6" t="s">
        <v>119</v>
      </c>
      <c r="N12" s="6" t="s">
        <v>480</v>
      </c>
      <c r="O12" s="6" t="s">
        <v>484</v>
      </c>
      <c r="P12" s="6" t="s">
        <v>119</v>
      </c>
      <c r="Q12" s="6" t="s">
        <v>119</v>
      </c>
    </row>
    <row r="13" customFormat="false" ht="15" hidden="false" customHeight="false" outlineLevel="0" collapsed="false">
      <c r="A13" s="6" t="s">
        <v>641</v>
      </c>
      <c r="B13" s="6" t="s">
        <v>223</v>
      </c>
      <c r="C13" s="6" t="s">
        <v>222</v>
      </c>
      <c r="D13" s="6" t="s">
        <v>568</v>
      </c>
      <c r="E13" s="6" t="s">
        <v>573</v>
      </c>
      <c r="F13" s="6" t="s">
        <v>484</v>
      </c>
      <c r="G13" s="6" t="s">
        <v>573</v>
      </c>
      <c r="H13" s="6" t="s">
        <v>573</v>
      </c>
      <c r="I13" s="6" t="s">
        <v>2264</v>
      </c>
      <c r="J13" s="6" t="s">
        <v>2264</v>
      </c>
      <c r="K13" s="6" t="n">
        <v>5</v>
      </c>
      <c r="L13" s="6" t="s">
        <v>119</v>
      </c>
      <c r="M13" s="6" t="s">
        <v>119</v>
      </c>
      <c r="N13" s="6" t="s">
        <v>480</v>
      </c>
      <c r="O13" s="6" t="s">
        <v>484</v>
      </c>
      <c r="P13" s="6" t="s">
        <v>119</v>
      </c>
      <c r="Q13" s="6" t="s">
        <v>119</v>
      </c>
    </row>
    <row r="14" customFormat="false" ht="15" hidden="false" customHeight="false" outlineLevel="0" collapsed="false">
      <c r="A14" s="6" t="s">
        <v>658</v>
      </c>
      <c r="B14" s="6" t="s">
        <v>231</v>
      </c>
      <c r="C14" s="6" t="s">
        <v>230</v>
      </c>
      <c r="D14" s="6" t="s">
        <v>539</v>
      </c>
      <c r="E14" s="6" t="s">
        <v>484</v>
      </c>
      <c r="F14" s="6" t="s">
        <v>2267</v>
      </c>
      <c r="G14" s="6" t="s">
        <v>573</v>
      </c>
      <c r="H14" s="6" t="s">
        <v>573</v>
      </c>
      <c r="I14" s="6" t="s">
        <v>2264</v>
      </c>
      <c r="J14" s="6" t="s">
        <v>2264</v>
      </c>
      <c r="K14" s="6" t="n">
        <v>8</v>
      </c>
      <c r="L14" s="6" t="s">
        <v>119</v>
      </c>
      <c r="M14" s="6" t="s">
        <v>119</v>
      </c>
      <c r="N14" s="6" t="s">
        <v>480</v>
      </c>
      <c r="O14" s="6" t="s">
        <v>484</v>
      </c>
      <c r="P14" s="6" t="s">
        <v>119</v>
      </c>
      <c r="Q14" s="6" t="s">
        <v>119</v>
      </c>
    </row>
    <row r="15" customFormat="false" ht="15" hidden="false" customHeight="false" outlineLevel="0" collapsed="false">
      <c r="A15" s="6" t="s">
        <v>671</v>
      </c>
      <c r="B15" s="6" t="s">
        <v>231</v>
      </c>
      <c r="C15" s="6" t="s">
        <v>230</v>
      </c>
      <c r="D15" s="6" t="s">
        <v>539</v>
      </c>
      <c r="E15" s="6" t="s">
        <v>484</v>
      </c>
      <c r="F15" s="6" t="s">
        <v>2267</v>
      </c>
      <c r="G15" s="6" t="s">
        <v>573</v>
      </c>
      <c r="H15" s="6" t="s">
        <v>2265</v>
      </c>
      <c r="I15" s="6" t="s">
        <v>2264</v>
      </c>
      <c r="J15" s="6" t="s">
        <v>2264</v>
      </c>
      <c r="K15" s="6" t="n">
        <v>10</v>
      </c>
      <c r="L15" s="6" t="s">
        <v>119</v>
      </c>
      <c r="M15" s="6" t="s">
        <v>119</v>
      </c>
      <c r="N15" s="6" t="s">
        <v>480</v>
      </c>
      <c r="O15" s="6" t="s">
        <v>484</v>
      </c>
      <c r="P15" s="6" t="s">
        <v>2264</v>
      </c>
      <c r="Q15" s="6" t="s">
        <v>119</v>
      </c>
    </row>
    <row r="16" customFormat="false" ht="15" hidden="false" customHeight="false" outlineLevel="0" collapsed="false">
      <c r="A16" s="6" t="s">
        <v>685</v>
      </c>
      <c r="B16" s="6" t="s">
        <v>377</v>
      </c>
      <c r="C16" s="6" t="s">
        <v>374</v>
      </c>
      <c r="D16" s="6" t="s">
        <v>486</v>
      </c>
      <c r="E16" s="6" t="s">
        <v>2267</v>
      </c>
      <c r="F16" s="6" t="s">
        <v>484</v>
      </c>
      <c r="G16" s="6" t="s">
        <v>573</v>
      </c>
      <c r="H16" s="6" t="s">
        <v>573</v>
      </c>
      <c r="I16" s="6" t="s">
        <v>2264</v>
      </c>
      <c r="J16" s="6" t="s">
        <v>2264</v>
      </c>
      <c r="K16" s="6" t="n">
        <v>6</v>
      </c>
      <c r="L16" s="6" t="s">
        <v>119</v>
      </c>
      <c r="M16" s="6" t="s">
        <v>119</v>
      </c>
      <c r="N16" s="6" t="s">
        <v>480</v>
      </c>
      <c r="O16" s="6" t="s">
        <v>484</v>
      </c>
      <c r="P16" s="6" t="s">
        <v>119</v>
      </c>
      <c r="Q16" s="6" t="s">
        <v>2264</v>
      </c>
    </row>
    <row r="17" customFormat="false" ht="15" hidden="false" customHeight="false" outlineLevel="0" collapsed="false">
      <c r="A17" s="6" t="s">
        <v>700</v>
      </c>
      <c r="B17" s="6" t="s">
        <v>324</v>
      </c>
      <c r="C17" s="6" t="s">
        <v>323</v>
      </c>
      <c r="D17" s="6" t="s">
        <v>539</v>
      </c>
      <c r="E17" s="6" t="s">
        <v>2267</v>
      </c>
      <c r="F17" s="6" t="s">
        <v>2267</v>
      </c>
      <c r="G17" s="6" t="s">
        <v>484</v>
      </c>
      <c r="H17" s="6" t="s">
        <v>573</v>
      </c>
      <c r="I17" s="6" t="s">
        <v>2264</v>
      </c>
      <c r="J17" s="6" t="s">
        <v>2264</v>
      </c>
      <c r="K17" s="6" t="n">
        <v>6</v>
      </c>
      <c r="L17" s="6" t="s">
        <v>119</v>
      </c>
      <c r="M17" s="6" t="s">
        <v>2264</v>
      </c>
      <c r="N17" s="6" t="s">
        <v>480</v>
      </c>
      <c r="O17" s="6" t="s">
        <v>2268</v>
      </c>
      <c r="P17" s="6" t="s">
        <v>119</v>
      </c>
      <c r="Q17" s="6" t="s">
        <v>119</v>
      </c>
    </row>
    <row r="18" customFormat="false" ht="15" hidden="false" customHeight="false" outlineLevel="0" collapsed="false">
      <c r="A18" s="6" t="s">
        <v>715</v>
      </c>
      <c r="B18" s="6" t="s">
        <v>292</v>
      </c>
      <c r="C18" s="6" t="s">
        <v>291</v>
      </c>
      <c r="D18" s="6" t="s">
        <v>486</v>
      </c>
      <c r="E18" s="6" t="s">
        <v>573</v>
      </c>
      <c r="F18" s="6" t="s">
        <v>484</v>
      </c>
      <c r="G18" s="6" t="s">
        <v>573</v>
      </c>
      <c r="H18" s="6" t="s">
        <v>573</v>
      </c>
      <c r="I18" s="6" t="s">
        <v>2264</v>
      </c>
      <c r="J18" s="6" t="s">
        <v>2264</v>
      </c>
      <c r="K18" s="6" t="n">
        <v>10</v>
      </c>
      <c r="L18" s="6" t="s">
        <v>119</v>
      </c>
      <c r="M18" s="6" t="s">
        <v>119</v>
      </c>
      <c r="N18" s="6" t="s">
        <v>532</v>
      </c>
      <c r="O18" s="6" t="s">
        <v>484</v>
      </c>
      <c r="P18" s="6" t="s">
        <v>119</v>
      </c>
      <c r="Q18" s="6" t="s">
        <v>119</v>
      </c>
    </row>
    <row r="19" customFormat="false" ht="15" hidden="false" customHeight="false" outlineLevel="0" collapsed="false">
      <c r="A19" s="6" t="s">
        <v>729</v>
      </c>
      <c r="B19" s="6" t="s">
        <v>263</v>
      </c>
      <c r="C19" s="6" t="s">
        <v>262</v>
      </c>
      <c r="D19" s="6" t="s">
        <v>539</v>
      </c>
      <c r="E19" s="6" t="s">
        <v>2267</v>
      </c>
      <c r="F19" s="6" t="s">
        <v>2267</v>
      </c>
      <c r="G19" s="6" t="s">
        <v>573</v>
      </c>
      <c r="H19" s="6" t="s">
        <v>573</v>
      </c>
      <c r="I19" s="6" t="s">
        <v>2264</v>
      </c>
      <c r="J19" s="6" t="s">
        <v>2264</v>
      </c>
      <c r="K19" s="6" t="n">
        <v>5</v>
      </c>
      <c r="L19" s="6" t="s">
        <v>119</v>
      </c>
      <c r="M19" s="6" t="s">
        <v>2264</v>
      </c>
      <c r="N19" s="6" t="s">
        <v>480</v>
      </c>
      <c r="O19" s="6" t="s">
        <v>2269</v>
      </c>
      <c r="P19" s="6" t="s">
        <v>119</v>
      </c>
      <c r="Q19" s="6" t="s">
        <v>119</v>
      </c>
    </row>
    <row r="20" customFormat="false" ht="15" hidden="false" customHeight="false" outlineLevel="0" collapsed="false">
      <c r="A20" s="6" t="s">
        <v>745</v>
      </c>
      <c r="B20" s="6" t="s">
        <v>252</v>
      </c>
      <c r="C20" s="6" t="s">
        <v>251</v>
      </c>
      <c r="D20" s="6" t="s">
        <v>486</v>
      </c>
      <c r="E20" s="6" t="s">
        <v>573</v>
      </c>
      <c r="F20" s="6" t="s">
        <v>484</v>
      </c>
      <c r="G20" s="6" t="s">
        <v>573</v>
      </c>
      <c r="H20" s="6" t="s">
        <v>2265</v>
      </c>
      <c r="I20" s="6" t="s">
        <v>2264</v>
      </c>
      <c r="J20" s="6" t="s">
        <v>2264</v>
      </c>
      <c r="K20" s="6" t="n">
        <v>6</v>
      </c>
      <c r="L20" s="6" t="s">
        <v>119</v>
      </c>
      <c r="M20" s="6" t="s">
        <v>119</v>
      </c>
      <c r="N20" s="6" t="s">
        <v>480</v>
      </c>
      <c r="O20" s="6" t="s">
        <v>484</v>
      </c>
      <c r="P20" s="6" t="s">
        <v>119</v>
      </c>
      <c r="Q20" s="6" t="s">
        <v>119</v>
      </c>
    </row>
    <row r="21" customFormat="false" ht="15" hidden="false" customHeight="false" outlineLevel="0" collapsed="false">
      <c r="A21" s="6" t="s">
        <v>755</v>
      </c>
      <c r="B21" s="6" t="s">
        <v>252</v>
      </c>
      <c r="C21" s="6" t="s">
        <v>251</v>
      </c>
      <c r="D21" s="6" t="s">
        <v>486</v>
      </c>
      <c r="E21" s="6" t="s">
        <v>2267</v>
      </c>
      <c r="F21" s="6" t="s">
        <v>2267</v>
      </c>
      <c r="G21" s="6" t="s">
        <v>573</v>
      </c>
      <c r="H21" s="6" t="s">
        <v>573</v>
      </c>
      <c r="I21" s="6" t="s">
        <v>2264</v>
      </c>
      <c r="J21" s="6" t="s">
        <v>2264</v>
      </c>
      <c r="K21" s="6" t="n">
        <v>5</v>
      </c>
      <c r="L21" s="6" t="s">
        <v>119</v>
      </c>
      <c r="M21" s="6" t="s">
        <v>119</v>
      </c>
      <c r="N21" s="6" t="s">
        <v>480</v>
      </c>
      <c r="O21" s="6" t="s">
        <v>2268</v>
      </c>
      <c r="P21" s="6" t="s">
        <v>119</v>
      </c>
      <c r="Q21" s="6" t="s">
        <v>119</v>
      </c>
    </row>
    <row r="22" customFormat="false" ht="15" hidden="false" customHeight="false" outlineLevel="0" collapsed="false">
      <c r="A22" s="6" t="s">
        <v>767</v>
      </c>
      <c r="B22" s="6" t="s">
        <v>259</v>
      </c>
      <c r="C22" s="6" t="s">
        <v>258</v>
      </c>
      <c r="D22" s="6" t="s">
        <v>486</v>
      </c>
      <c r="E22" s="6" t="s">
        <v>589</v>
      </c>
      <c r="F22" s="6" t="s">
        <v>484</v>
      </c>
      <c r="G22" s="6" t="s">
        <v>589</v>
      </c>
      <c r="H22" s="6" t="s">
        <v>573</v>
      </c>
      <c r="I22" s="6" t="s">
        <v>2264</v>
      </c>
      <c r="J22" s="6" t="s">
        <v>2264</v>
      </c>
      <c r="K22" s="6" t="n">
        <v>12</v>
      </c>
      <c r="L22" s="6" t="s">
        <v>119</v>
      </c>
      <c r="M22" s="6" t="s">
        <v>119</v>
      </c>
      <c r="N22" s="6" t="s">
        <v>532</v>
      </c>
      <c r="O22" s="6" t="s">
        <v>484</v>
      </c>
      <c r="P22" s="6" t="s">
        <v>119</v>
      </c>
      <c r="Q22" s="6" t="s">
        <v>119</v>
      </c>
    </row>
    <row r="23" customFormat="false" ht="15" hidden="false" customHeight="false" outlineLevel="0" collapsed="false">
      <c r="A23" s="6" t="s">
        <v>781</v>
      </c>
      <c r="B23" s="6" t="s">
        <v>782</v>
      </c>
      <c r="C23" s="6" t="s">
        <v>357</v>
      </c>
      <c r="D23" s="6" t="s">
        <v>539</v>
      </c>
      <c r="E23" s="6" t="s">
        <v>2267</v>
      </c>
      <c r="F23" s="6" t="s">
        <v>2267</v>
      </c>
      <c r="G23" s="6" t="s">
        <v>589</v>
      </c>
      <c r="H23" s="6" t="s">
        <v>589</v>
      </c>
      <c r="I23" s="6" t="s">
        <v>2264</v>
      </c>
      <c r="J23" s="6" t="s">
        <v>2264</v>
      </c>
      <c r="K23" s="6" t="n">
        <v>4</v>
      </c>
      <c r="L23" s="6" t="s">
        <v>2264</v>
      </c>
      <c r="M23" s="6" t="s">
        <v>2264</v>
      </c>
      <c r="N23" s="6" t="s">
        <v>480</v>
      </c>
      <c r="O23" s="6" t="s">
        <v>484</v>
      </c>
      <c r="P23" s="6" t="s">
        <v>119</v>
      </c>
      <c r="Q23" s="6" t="s">
        <v>119</v>
      </c>
    </row>
    <row r="24" customFormat="false" ht="15" hidden="false" customHeight="false" outlineLevel="0" collapsed="false">
      <c r="A24" s="6" t="s">
        <v>797</v>
      </c>
      <c r="B24" s="6" t="s">
        <v>292</v>
      </c>
      <c r="C24" s="6" t="s">
        <v>291</v>
      </c>
      <c r="D24" s="6" t="s">
        <v>486</v>
      </c>
      <c r="E24" s="6" t="s">
        <v>573</v>
      </c>
      <c r="F24" s="6" t="s">
        <v>484</v>
      </c>
      <c r="G24" s="6" t="s">
        <v>573</v>
      </c>
      <c r="H24" s="6" t="s">
        <v>573</v>
      </c>
      <c r="I24" s="6" t="s">
        <v>2264</v>
      </c>
      <c r="J24" s="6" t="s">
        <v>2264</v>
      </c>
      <c r="K24" s="6" t="n">
        <v>5</v>
      </c>
      <c r="L24" s="6" t="s">
        <v>119</v>
      </c>
      <c r="M24" s="6" t="s">
        <v>119</v>
      </c>
      <c r="N24" s="6" t="s">
        <v>532</v>
      </c>
      <c r="O24" s="6" t="s">
        <v>2268</v>
      </c>
      <c r="P24" s="6" t="s">
        <v>119</v>
      </c>
      <c r="Q24" s="6" t="s">
        <v>119</v>
      </c>
    </row>
    <row r="25" customFormat="false" ht="15" hidden="false" customHeight="false" outlineLevel="0" collapsed="false">
      <c r="A25" s="6" t="s">
        <v>810</v>
      </c>
      <c r="B25" s="6" t="s">
        <v>135</v>
      </c>
      <c r="C25" s="6" t="s">
        <v>134</v>
      </c>
      <c r="D25" s="6" t="s">
        <v>486</v>
      </c>
      <c r="E25" s="6" t="s">
        <v>2267</v>
      </c>
      <c r="F25" s="6" t="s">
        <v>2267</v>
      </c>
      <c r="G25" s="6" t="s">
        <v>573</v>
      </c>
      <c r="H25" s="6" t="s">
        <v>484</v>
      </c>
      <c r="I25" s="6" t="s">
        <v>119</v>
      </c>
      <c r="J25" s="6" t="s">
        <v>119</v>
      </c>
      <c r="K25" s="6" t="n">
        <v>5</v>
      </c>
      <c r="L25" s="6" t="s">
        <v>119</v>
      </c>
      <c r="M25" s="6" t="s">
        <v>119</v>
      </c>
      <c r="N25" s="6" t="s">
        <v>480</v>
      </c>
      <c r="O25" s="6" t="s">
        <v>2269</v>
      </c>
      <c r="P25" s="6" t="s">
        <v>119</v>
      </c>
      <c r="Q25" s="6" t="s">
        <v>119</v>
      </c>
    </row>
    <row r="26" customFormat="false" ht="15" hidden="false" customHeight="false" outlineLevel="0" collapsed="false">
      <c r="A26" s="6" t="s">
        <v>819</v>
      </c>
      <c r="B26" s="6" t="s">
        <v>360</v>
      </c>
      <c r="C26" s="6" t="s">
        <v>359</v>
      </c>
      <c r="D26" s="6" t="s">
        <v>486</v>
      </c>
      <c r="E26" s="6" t="s">
        <v>2267</v>
      </c>
      <c r="F26" s="6" t="s">
        <v>2267</v>
      </c>
      <c r="G26" s="6" t="s">
        <v>573</v>
      </c>
      <c r="H26" s="6" t="s">
        <v>484</v>
      </c>
      <c r="I26" s="6" t="s">
        <v>119</v>
      </c>
      <c r="J26" s="6" t="s">
        <v>2264</v>
      </c>
      <c r="K26" s="6" t="n">
        <v>9</v>
      </c>
      <c r="L26" s="6" t="s">
        <v>119</v>
      </c>
      <c r="M26" s="6" t="s">
        <v>119</v>
      </c>
      <c r="N26" s="6" t="s">
        <v>532</v>
      </c>
      <c r="O26" s="6" t="s">
        <v>2269</v>
      </c>
      <c r="P26" s="6" t="s">
        <v>2264</v>
      </c>
      <c r="Q26" s="6" t="s">
        <v>119</v>
      </c>
    </row>
    <row r="27" customFormat="false" ht="15" hidden="false" customHeight="false" outlineLevel="0" collapsed="false">
      <c r="A27" s="6" t="s">
        <v>834</v>
      </c>
      <c r="B27" s="6" t="s">
        <v>508</v>
      </c>
      <c r="C27" s="6" t="s">
        <v>143</v>
      </c>
      <c r="D27" s="6" t="s">
        <v>486</v>
      </c>
      <c r="E27" s="6" t="s">
        <v>573</v>
      </c>
      <c r="F27" s="6" t="s">
        <v>589</v>
      </c>
      <c r="G27" s="6" t="s">
        <v>573</v>
      </c>
      <c r="H27" s="6" t="s">
        <v>484</v>
      </c>
      <c r="I27" s="6" t="s">
        <v>119</v>
      </c>
      <c r="J27" s="6" t="s">
        <v>2264</v>
      </c>
      <c r="K27" s="6" t="n">
        <v>8</v>
      </c>
      <c r="L27" s="6" t="s">
        <v>119</v>
      </c>
      <c r="M27" s="6" t="s">
        <v>119</v>
      </c>
      <c r="N27" s="6" t="s">
        <v>480</v>
      </c>
      <c r="O27" s="6" t="s">
        <v>2268</v>
      </c>
      <c r="P27" s="6" t="s">
        <v>119</v>
      </c>
      <c r="Q27" s="6" t="s">
        <v>119</v>
      </c>
    </row>
    <row r="28" customFormat="false" ht="15" hidden="false" customHeight="false" outlineLevel="0" collapsed="false">
      <c r="A28" s="6" t="s">
        <v>846</v>
      </c>
      <c r="B28" s="6" t="s">
        <v>135</v>
      </c>
      <c r="C28" s="6" t="s">
        <v>134</v>
      </c>
      <c r="D28" s="6" t="s">
        <v>486</v>
      </c>
      <c r="E28" s="6" t="s">
        <v>2267</v>
      </c>
      <c r="F28" s="6" t="s">
        <v>484</v>
      </c>
      <c r="G28" s="6" t="s">
        <v>573</v>
      </c>
      <c r="H28" s="6" t="s">
        <v>573</v>
      </c>
      <c r="I28" s="6" t="s">
        <v>2264</v>
      </c>
      <c r="J28" s="6" t="s">
        <v>119</v>
      </c>
      <c r="K28" s="6" t="n">
        <v>5</v>
      </c>
      <c r="L28" s="6" t="s">
        <v>119</v>
      </c>
      <c r="M28" s="6" t="s">
        <v>119</v>
      </c>
      <c r="N28" s="6" t="s">
        <v>480</v>
      </c>
      <c r="O28" s="6" t="s">
        <v>2268</v>
      </c>
      <c r="P28" s="6" t="s">
        <v>119</v>
      </c>
      <c r="Q28" s="6" t="s">
        <v>119</v>
      </c>
    </row>
    <row r="29" customFormat="false" ht="15" hidden="false" customHeight="false" outlineLevel="0" collapsed="false">
      <c r="A29" s="6" t="s">
        <v>857</v>
      </c>
      <c r="B29" s="6" t="s">
        <v>378</v>
      </c>
      <c r="C29" s="6" t="s">
        <v>374</v>
      </c>
      <c r="D29" s="6" t="s">
        <v>486</v>
      </c>
      <c r="E29" s="6" t="s">
        <v>573</v>
      </c>
      <c r="F29" s="6" t="s">
        <v>484</v>
      </c>
      <c r="G29" s="6" t="s">
        <v>573</v>
      </c>
      <c r="H29" s="6" t="s">
        <v>573</v>
      </c>
      <c r="I29" s="6" t="s">
        <v>2264</v>
      </c>
      <c r="J29" s="6" t="s">
        <v>2264</v>
      </c>
      <c r="K29" s="6" t="n">
        <v>8</v>
      </c>
      <c r="L29" s="6" t="s">
        <v>119</v>
      </c>
      <c r="M29" s="6" t="s">
        <v>119</v>
      </c>
      <c r="N29" s="6" t="s">
        <v>480</v>
      </c>
      <c r="O29" s="6" t="s">
        <v>2268</v>
      </c>
      <c r="P29" s="6" t="s">
        <v>119</v>
      </c>
      <c r="Q29" s="6" t="s">
        <v>2264</v>
      </c>
    </row>
    <row r="30" customFormat="false" ht="15" hidden="false" customHeight="false" outlineLevel="0" collapsed="false">
      <c r="A30" s="6" t="s">
        <v>870</v>
      </c>
      <c r="B30" s="6" t="s">
        <v>379</v>
      </c>
      <c r="C30" s="6" t="s">
        <v>374</v>
      </c>
      <c r="D30" s="6" t="s">
        <v>486</v>
      </c>
      <c r="E30" s="6" t="s">
        <v>573</v>
      </c>
      <c r="F30" s="6" t="s">
        <v>589</v>
      </c>
      <c r="G30" s="6" t="s">
        <v>589</v>
      </c>
      <c r="H30" s="6" t="s">
        <v>573</v>
      </c>
      <c r="I30" s="6" t="s">
        <v>2264</v>
      </c>
      <c r="J30" s="6" t="s">
        <v>2264</v>
      </c>
      <c r="K30" s="6" t="n">
        <v>5</v>
      </c>
      <c r="L30" s="6" t="s">
        <v>119</v>
      </c>
      <c r="M30" s="6" t="s">
        <v>119</v>
      </c>
      <c r="N30" s="6" t="s">
        <v>480</v>
      </c>
      <c r="O30" s="6" t="s">
        <v>2269</v>
      </c>
      <c r="P30" s="6" t="s">
        <v>119</v>
      </c>
      <c r="Q30" s="6" t="s">
        <v>2264</v>
      </c>
    </row>
    <row r="31" customFormat="false" ht="15" hidden="false" customHeight="false" outlineLevel="0" collapsed="false">
      <c r="A31" s="6" t="s">
        <v>884</v>
      </c>
      <c r="B31" s="6" t="s">
        <v>886</v>
      </c>
      <c r="C31" s="6" t="s">
        <v>136</v>
      </c>
      <c r="D31" s="6" t="s">
        <v>486</v>
      </c>
      <c r="E31" s="6" t="s">
        <v>2267</v>
      </c>
      <c r="F31" s="6" t="s">
        <v>2267</v>
      </c>
      <c r="G31" s="6" t="s">
        <v>573</v>
      </c>
      <c r="H31" s="6" t="s">
        <v>573</v>
      </c>
      <c r="I31" s="6" t="s">
        <v>2264</v>
      </c>
      <c r="J31" s="6" t="s">
        <v>119</v>
      </c>
      <c r="K31" s="6" t="n">
        <v>5</v>
      </c>
      <c r="L31" s="6" t="s">
        <v>119</v>
      </c>
      <c r="M31" s="6" t="s">
        <v>119</v>
      </c>
      <c r="N31" s="6" t="s">
        <v>480</v>
      </c>
      <c r="O31" s="6" t="s">
        <v>2269</v>
      </c>
      <c r="P31" s="6" t="s">
        <v>119</v>
      </c>
      <c r="Q31" s="6" t="s">
        <v>119</v>
      </c>
    </row>
    <row r="32" customFormat="false" ht="15" hidden="false" customHeight="false" outlineLevel="0" collapsed="false">
      <c r="A32" s="6" t="s">
        <v>901</v>
      </c>
      <c r="B32" s="6" t="s">
        <v>188</v>
      </c>
      <c r="C32" s="6" t="s">
        <v>187</v>
      </c>
      <c r="D32" s="6" t="s">
        <v>568</v>
      </c>
      <c r="E32" s="6" t="s">
        <v>573</v>
      </c>
      <c r="F32" s="6" t="s">
        <v>484</v>
      </c>
      <c r="G32" s="6" t="s">
        <v>573</v>
      </c>
      <c r="H32" s="6" t="s">
        <v>484</v>
      </c>
      <c r="I32" s="6" t="s">
        <v>119</v>
      </c>
      <c r="J32" s="6" t="s">
        <v>2264</v>
      </c>
      <c r="K32" s="6" t="n">
        <v>10</v>
      </c>
      <c r="L32" s="6" t="s">
        <v>119</v>
      </c>
      <c r="M32" s="6" t="s">
        <v>119</v>
      </c>
      <c r="N32" s="6" t="s">
        <v>532</v>
      </c>
      <c r="O32" s="6" t="s">
        <v>2269</v>
      </c>
      <c r="P32" s="6" t="s">
        <v>119</v>
      </c>
      <c r="Q32" s="6" t="s">
        <v>119</v>
      </c>
    </row>
    <row r="33" customFormat="false" ht="15" hidden="false" customHeight="false" outlineLevel="0" collapsed="false">
      <c r="A33" s="6" t="s">
        <v>914</v>
      </c>
      <c r="B33" s="6" t="s">
        <v>380</v>
      </c>
      <c r="C33" s="6" t="s">
        <v>374</v>
      </c>
      <c r="D33" s="6" t="s">
        <v>486</v>
      </c>
      <c r="E33" s="6" t="s">
        <v>2267</v>
      </c>
      <c r="F33" s="6" t="s">
        <v>2267</v>
      </c>
      <c r="G33" s="6" t="s">
        <v>573</v>
      </c>
      <c r="H33" s="6" t="s">
        <v>573</v>
      </c>
      <c r="I33" s="6" t="s">
        <v>2264</v>
      </c>
      <c r="J33" s="6" t="s">
        <v>2264</v>
      </c>
      <c r="K33" s="6" t="n">
        <v>8</v>
      </c>
      <c r="L33" s="6" t="s">
        <v>119</v>
      </c>
      <c r="M33" s="6" t="s">
        <v>119</v>
      </c>
      <c r="N33" s="6" t="s">
        <v>480</v>
      </c>
      <c r="O33" s="6" t="s">
        <v>2270</v>
      </c>
      <c r="P33" s="6" t="s">
        <v>119</v>
      </c>
      <c r="Q33" s="6" t="s">
        <v>2264</v>
      </c>
    </row>
    <row r="34" customFormat="false" ht="15" hidden="false" customHeight="false" outlineLevel="0" collapsed="false">
      <c r="A34" s="6" t="s">
        <v>928</v>
      </c>
      <c r="B34" s="6" t="s">
        <v>150</v>
      </c>
      <c r="C34" s="6" t="s">
        <v>149</v>
      </c>
      <c r="D34" s="6" t="s">
        <v>486</v>
      </c>
      <c r="E34" s="6" t="s">
        <v>2267</v>
      </c>
      <c r="F34" s="6" t="s">
        <v>2267</v>
      </c>
      <c r="G34" s="6" t="s">
        <v>573</v>
      </c>
      <c r="H34" s="6" t="s">
        <v>484</v>
      </c>
      <c r="I34" s="6" t="s">
        <v>119</v>
      </c>
      <c r="J34" s="6" t="s">
        <v>2264</v>
      </c>
      <c r="K34" s="6" t="n">
        <v>10</v>
      </c>
      <c r="L34" s="6" t="s">
        <v>119</v>
      </c>
      <c r="M34" s="6" t="s">
        <v>119</v>
      </c>
      <c r="N34" s="6" t="s">
        <v>480</v>
      </c>
      <c r="O34" s="6" t="s">
        <v>2269</v>
      </c>
      <c r="P34" s="6" t="s">
        <v>119</v>
      </c>
      <c r="Q34" s="6" t="s">
        <v>119</v>
      </c>
    </row>
    <row r="35" customFormat="false" ht="15" hidden="false" customHeight="false" outlineLevel="0" collapsed="false">
      <c r="A35" s="6" t="s">
        <v>943</v>
      </c>
      <c r="B35" s="6" t="s">
        <v>220</v>
      </c>
      <c r="C35" s="6" t="s">
        <v>219</v>
      </c>
      <c r="D35" s="6" t="s">
        <v>539</v>
      </c>
      <c r="E35" s="6" t="s">
        <v>484</v>
      </c>
      <c r="F35" s="6" t="s">
        <v>484</v>
      </c>
      <c r="G35" s="6" t="s">
        <v>484</v>
      </c>
      <c r="H35" s="6" t="s">
        <v>484</v>
      </c>
      <c r="I35" s="6" t="s">
        <v>119</v>
      </c>
      <c r="J35" s="6" t="s">
        <v>2264</v>
      </c>
      <c r="K35" s="6" t="n">
        <v>7</v>
      </c>
      <c r="L35" s="6" t="s">
        <v>119</v>
      </c>
      <c r="M35" s="6" t="s">
        <v>119</v>
      </c>
      <c r="N35" s="6" t="s">
        <v>480</v>
      </c>
      <c r="O35" s="6" t="s">
        <v>2269</v>
      </c>
      <c r="P35" s="6" t="s">
        <v>119</v>
      </c>
      <c r="Q35" s="6" t="s">
        <v>119</v>
      </c>
    </row>
    <row r="36" customFormat="false" ht="15" hidden="false" customHeight="false" outlineLevel="0" collapsed="false">
      <c r="A36" s="6" t="s">
        <v>956</v>
      </c>
      <c r="B36" s="6" t="s">
        <v>204</v>
      </c>
      <c r="C36" s="6" t="s">
        <v>203</v>
      </c>
      <c r="D36" s="6" t="s">
        <v>539</v>
      </c>
      <c r="E36" s="6" t="s">
        <v>2267</v>
      </c>
      <c r="F36" s="6" t="s">
        <v>2267</v>
      </c>
      <c r="G36" s="6" t="s">
        <v>484</v>
      </c>
      <c r="H36" s="6" t="s">
        <v>484</v>
      </c>
      <c r="I36" s="6" t="s">
        <v>119</v>
      </c>
      <c r="J36" s="6" t="s">
        <v>2264</v>
      </c>
      <c r="K36" s="6" t="n">
        <v>6</v>
      </c>
      <c r="L36" s="6" t="s">
        <v>119</v>
      </c>
      <c r="M36" s="6" t="s">
        <v>119</v>
      </c>
      <c r="N36" s="6" t="s">
        <v>480</v>
      </c>
      <c r="O36" s="6" t="s">
        <v>2270</v>
      </c>
      <c r="P36" s="6" t="s">
        <v>119</v>
      </c>
      <c r="Q36" s="6" t="s">
        <v>119</v>
      </c>
    </row>
    <row r="37" customFormat="false" ht="15" hidden="false" customHeight="false" outlineLevel="0" collapsed="false">
      <c r="A37" s="6" t="s">
        <v>968</v>
      </c>
      <c r="B37" s="6" t="s">
        <v>290</v>
      </c>
      <c r="C37" s="6" t="s">
        <v>289</v>
      </c>
      <c r="D37" s="6" t="s">
        <v>486</v>
      </c>
      <c r="E37" s="6" t="s">
        <v>2267</v>
      </c>
      <c r="F37" s="6" t="s">
        <v>484</v>
      </c>
      <c r="G37" s="6" t="s">
        <v>573</v>
      </c>
      <c r="H37" s="6" t="s">
        <v>573</v>
      </c>
      <c r="I37" s="6" t="s">
        <v>119</v>
      </c>
      <c r="J37" s="6" t="s">
        <v>2264</v>
      </c>
      <c r="K37" s="6" t="n">
        <v>10</v>
      </c>
      <c r="L37" s="6" t="s">
        <v>119</v>
      </c>
      <c r="M37" s="6" t="s">
        <v>2264</v>
      </c>
      <c r="N37" s="6" t="s">
        <v>532</v>
      </c>
      <c r="O37" s="6" t="s">
        <v>2268</v>
      </c>
      <c r="P37" s="6" t="s">
        <v>119</v>
      </c>
      <c r="Q37" s="6" t="s">
        <v>119</v>
      </c>
    </row>
    <row r="38" customFormat="false" ht="15" hidden="false" customHeight="false" outlineLevel="0" collapsed="false">
      <c r="A38" s="6" t="s">
        <v>982</v>
      </c>
      <c r="B38" s="6" t="s">
        <v>238</v>
      </c>
      <c r="C38" s="6" t="s">
        <v>237</v>
      </c>
      <c r="D38" s="6" t="s">
        <v>486</v>
      </c>
      <c r="E38" s="6" t="s">
        <v>573</v>
      </c>
      <c r="F38" s="6" t="s">
        <v>484</v>
      </c>
      <c r="G38" s="6" t="s">
        <v>484</v>
      </c>
      <c r="H38" s="6" t="s">
        <v>484</v>
      </c>
      <c r="I38" s="6" t="s">
        <v>119</v>
      </c>
      <c r="J38" s="6" t="s">
        <v>2264</v>
      </c>
      <c r="K38" s="6" t="n">
        <v>6</v>
      </c>
      <c r="L38" s="6" t="s">
        <v>119</v>
      </c>
      <c r="M38" s="6" t="s">
        <v>119</v>
      </c>
      <c r="N38" s="6" t="s">
        <v>480</v>
      </c>
      <c r="O38" s="6" t="s">
        <v>2270</v>
      </c>
      <c r="P38" s="6" t="s">
        <v>119</v>
      </c>
      <c r="Q38" s="6" t="s">
        <v>119</v>
      </c>
    </row>
    <row r="39" customFormat="false" ht="15" hidden="false" customHeight="false" outlineLevel="0" collapsed="false">
      <c r="A39" s="6" t="s">
        <v>995</v>
      </c>
      <c r="B39" s="6" t="s">
        <v>271</v>
      </c>
      <c r="C39" s="6" t="s">
        <v>270</v>
      </c>
      <c r="D39" s="6" t="s">
        <v>486</v>
      </c>
      <c r="E39" s="6" t="s">
        <v>573</v>
      </c>
      <c r="F39" s="6" t="s">
        <v>484</v>
      </c>
      <c r="G39" s="6" t="s">
        <v>573</v>
      </c>
      <c r="H39" s="6" t="s">
        <v>2265</v>
      </c>
      <c r="I39" s="6" t="s">
        <v>2264</v>
      </c>
      <c r="J39" s="6" t="s">
        <v>119</v>
      </c>
      <c r="K39" s="6" t="n">
        <v>8</v>
      </c>
      <c r="L39" s="6" t="s">
        <v>119</v>
      </c>
      <c r="M39" s="6" t="s">
        <v>2264</v>
      </c>
      <c r="N39" s="6" t="s">
        <v>532</v>
      </c>
      <c r="O39" s="6" t="s">
        <v>2269</v>
      </c>
      <c r="P39" s="6" t="s">
        <v>119</v>
      </c>
      <c r="Q39" s="6" t="s">
        <v>119</v>
      </c>
    </row>
    <row r="40" customFormat="false" ht="15" hidden="false" customHeight="false" outlineLevel="0" collapsed="false">
      <c r="A40" s="6" t="s">
        <v>1007</v>
      </c>
      <c r="B40" s="6" t="s">
        <v>183</v>
      </c>
      <c r="C40" s="6" t="s">
        <v>182</v>
      </c>
      <c r="D40" s="6" t="s">
        <v>539</v>
      </c>
      <c r="E40" s="6" t="s">
        <v>484</v>
      </c>
      <c r="F40" s="6" t="s">
        <v>589</v>
      </c>
      <c r="G40" s="6" t="s">
        <v>589</v>
      </c>
      <c r="H40" s="6" t="s">
        <v>589</v>
      </c>
      <c r="I40" s="6" t="s">
        <v>2264</v>
      </c>
      <c r="J40" s="6" t="s">
        <v>2264</v>
      </c>
      <c r="K40" s="6"/>
      <c r="L40" s="6" t="s">
        <v>119</v>
      </c>
      <c r="M40" s="6" t="s">
        <v>119</v>
      </c>
      <c r="N40" s="6" t="s">
        <v>480</v>
      </c>
      <c r="O40" s="6" t="s">
        <v>2268</v>
      </c>
      <c r="P40" s="6" t="s">
        <v>119</v>
      </c>
      <c r="Q40" s="6" t="s">
        <v>119</v>
      </c>
    </row>
    <row r="41" customFormat="false" ht="15" hidden="false" customHeight="false" outlineLevel="0" collapsed="false">
      <c r="A41" s="6" t="s">
        <v>1020</v>
      </c>
      <c r="B41" s="6" t="s">
        <v>191</v>
      </c>
      <c r="C41" s="6" t="s">
        <v>190</v>
      </c>
      <c r="D41" s="6" t="s">
        <v>539</v>
      </c>
      <c r="E41" s="6" t="s">
        <v>2267</v>
      </c>
      <c r="F41" s="6" t="s">
        <v>2267</v>
      </c>
      <c r="G41" s="6" t="s">
        <v>484</v>
      </c>
      <c r="H41" s="6" t="s">
        <v>484</v>
      </c>
      <c r="I41" s="6" t="s">
        <v>119</v>
      </c>
      <c r="J41" s="6" t="s">
        <v>2264</v>
      </c>
      <c r="K41" s="6" t="n">
        <v>8</v>
      </c>
      <c r="L41" s="6" t="s">
        <v>119</v>
      </c>
      <c r="M41" s="6" t="s">
        <v>2264</v>
      </c>
      <c r="N41" s="6" t="s">
        <v>480</v>
      </c>
      <c r="O41" s="6" t="s">
        <v>2268</v>
      </c>
      <c r="P41" s="6" t="s">
        <v>119</v>
      </c>
      <c r="Q41" s="6" t="s">
        <v>119</v>
      </c>
    </row>
    <row r="42" customFormat="false" ht="15" hidden="false" customHeight="false" outlineLevel="0" collapsed="false">
      <c r="A42" s="6" t="s">
        <v>1033</v>
      </c>
      <c r="B42" s="6" t="s">
        <v>204</v>
      </c>
      <c r="C42" s="6" t="s">
        <v>203</v>
      </c>
      <c r="D42" s="6" t="s">
        <v>539</v>
      </c>
      <c r="E42" s="6" t="s">
        <v>484</v>
      </c>
      <c r="F42" s="6" t="s">
        <v>2267</v>
      </c>
      <c r="G42" s="6" t="s">
        <v>484</v>
      </c>
      <c r="H42" s="6" t="s">
        <v>2265</v>
      </c>
      <c r="I42" s="6" t="s">
        <v>2264</v>
      </c>
      <c r="J42" s="6" t="s">
        <v>2264</v>
      </c>
      <c r="K42" s="6" t="n">
        <v>12</v>
      </c>
      <c r="L42" s="6" t="s">
        <v>119</v>
      </c>
      <c r="M42" s="6" t="s">
        <v>119</v>
      </c>
      <c r="N42" s="6" t="s">
        <v>480</v>
      </c>
      <c r="O42" s="6" t="s">
        <v>2270</v>
      </c>
      <c r="P42" s="6" t="s">
        <v>119</v>
      </c>
      <c r="Q42" s="6" t="s">
        <v>119</v>
      </c>
    </row>
    <row r="43" customFormat="false" ht="15" hidden="false" customHeight="false" outlineLevel="0" collapsed="false">
      <c r="A43" s="6" t="s">
        <v>1045</v>
      </c>
      <c r="B43" s="6" t="s">
        <v>223</v>
      </c>
      <c r="C43" s="6" t="s">
        <v>222</v>
      </c>
      <c r="D43" s="6" t="s">
        <v>568</v>
      </c>
      <c r="E43" s="6" t="s">
        <v>573</v>
      </c>
      <c r="F43" s="6" t="s">
        <v>484</v>
      </c>
      <c r="G43" s="6" t="s">
        <v>573</v>
      </c>
      <c r="H43" s="6" t="s">
        <v>573</v>
      </c>
      <c r="I43" s="6" t="s">
        <v>2264</v>
      </c>
      <c r="J43" s="6" t="s">
        <v>2264</v>
      </c>
      <c r="K43" s="6" t="n">
        <v>5</v>
      </c>
      <c r="L43" s="6" t="s">
        <v>119</v>
      </c>
      <c r="M43" s="6" t="s">
        <v>119</v>
      </c>
      <c r="N43" s="6" t="s">
        <v>480</v>
      </c>
      <c r="O43" s="6" t="s">
        <v>2268</v>
      </c>
      <c r="P43" s="6" t="s">
        <v>119</v>
      </c>
      <c r="Q43" s="6" t="s">
        <v>119</v>
      </c>
    </row>
    <row r="44" customFormat="false" ht="15" hidden="false" customHeight="false" outlineLevel="0" collapsed="false">
      <c r="A44" s="6" t="s">
        <v>1058</v>
      </c>
      <c r="B44" s="6" t="s">
        <v>381</v>
      </c>
      <c r="C44" s="6" t="s">
        <v>374</v>
      </c>
      <c r="D44" s="6" t="s">
        <v>486</v>
      </c>
      <c r="E44" s="6" t="s">
        <v>573</v>
      </c>
      <c r="F44" s="6" t="s">
        <v>484</v>
      </c>
      <c r="G44" s="6" t="s">
        <v>484</v>
      </c>
      <c r="H44" s="6" t="s">
        <v>484</v>
      </c>
      <c r="I44" s="6" t="s">
        <v>119</v>
      </c>
      <c r="J44" s="6" t="s">
        <v>2264</v>
      </c>
      <c r="K44" s="6" t="n">
        <v>10</v>
      </c>
      <c r="L44" s="6" t="s">
        <v>119</v>
      </c>
      <c r="M44" s="6" t="s">
        <v>119</v>
      </c>
      <c r="N44" s="6" t="s">
        <v>480</v>
      </c>
      <c r="O44" s="6" t="s">
        <v>2270</v>
      </c>
      <c r="P44" s="6" t="s">
        <v>119</v>
      </c>
      <c r="Q44" s="6" t="s">
        <v>2264</v>
      </c>
    </row>
    <row r="45" customFormat="false" ht="15" hidden="false" customHeight="false" outlineLevel="0" collapsed="false">
      <c r="A45" s="6" t="s">
        <v>1070</v>
      </c>
      <c r="B45" s="6" t="s">
        <v>257</v>
      </c>
      <c r="C45" s="6" t="s">
        <v>256</v>
      </c>
      <c r="D45" s="6" t="s">
        <v>486</v>
      </c>
      <c r="E45" s="6" t="s">
        <v>484</v>
      </c>
      <c r="F45" s="6" t="s">
        <v>484</v>
      </c>
      <c r="G45" s="6" t="s">
        <v>589</v>
      </c>
      <c r="H45" s="6" t="s">
        <v>589</v>
      </c>
      <c r="I45" s="6" t="s">
        <v>119</v>
      </c>
      <c r="J45" s="6" t="s">
        <v>2264</v>
      </c>
      <c r="K45" s="6" t="n">
        <v>12</v>
      </c>
      <c r="L45" s="6" t="s">
        <v>119</v>
      </c>
      <c r="M45" s="6" t="s">
        <v>119</v>
      </c>
      <c r="N45" s="6" t="s">
        <v>532</v>
      </c>
      <c r="O45" s="6" t="s">
        <v>2268</v>
      </c>
      <c r="P45" s="6" t="s">
        <v>2264</v>
      </c>
      <c r="Q45" s="6" t="s">
        <v>119</v>
      </c>
    </row>
    <row r="46" customFormat="false" ht="15" hidden="false" customHeight="false" outlineLevel="0" collapsed="false">
      <c r="A46" s="6" t="s">
        <v>1082</v>
      </c>
      <c r="B46" s="6" t="s">
        <v>382</v>
      </c>
      <c r="C46" s="6" t="s">
        <v>374</v>
      </c>
      <c r="D46" s="6" t="s">
        <v>539</v>
      </c>
      <c r="E46" s="6" t="s">
        <v>2267</v>
      </c>
      <c r="F46" s="6" t="s">
        <v>2267</v>
      </c>
      <c r="G46" s="6" t="s">
        <v>573</v>
      </c>
      <c r="H46" s="6" t="s">
        <v>573</v>
      </c>
      <c r="I46" s="6" t="s">
        <v>2264</v>
      </c>
      <c r="J46" s="6" t="s">
        <v>2264</v>
      </c>
      <c r="K46" s="6" t="n">
        <v>5</v>
      </c>
      <c r="L46" s="6" t="s">
        <v>119</v>
      </c>
      <c r="M46" s="6" t="s">
        <v>119</v>
      </c>
      <c r="N46" s="6" t="s">
        <v>480</v>
      </c>
      <c r="O46" s="6" t="s">
        <v>2270</v>
      </c>
      <c r="P46" s="6" t="s">
        <v>119</v>
      </c>
      <c r="Q46" s="6" t="s">
        <v>2264</v>
      </c>
    </row>
    <row r="47" customFormat="false" ht="15" hidden="false" customHeight="false" outlineLevel="0" collapsed="false">
      <c r="A47" s="6" t="s">
        <v>1098</v>
      </c>
      <c r="B47" s="6" t="s">
        <v>188</v>
      </c>
      <c r="C47" s="6" t="s">
        <v>187</v>
      </c>
      <c r="D47" s="6" t="s">
        <v>501</v>
      </c>
      <c r="E47" s="6" t="s">
        <v>2267</v>
      </c>
      <c r="F47" s="6" t="s">
        <v>484</v>
      </c>
      <c r="G47" s="6" t="s">
        <v>484</v>
      </c>
      <c r="H47" s="6" t="s">
        <v>573</v>
      </c>
      <c r="I47" s="6" t="s">
        <v>2264</v>
      </c>
      <c r="J47" s="6" t="s">
        <v>2264</v>
      </c>
      <c r="K47" s="6" t="n">
        <v>7</v>
      </c>
      <c r="L47" s="6" t="s">
        <v>119</v>
      </c>
      <c r="M47" s="6" t="s">
        <v>119</v>
      </c>
      <c r="N47" s="6" t="s">
        <v>480</v>
      </c>
      <c r="O47" s="6" t="s">
        <v>2270</v>
      </c>
      <c r="P47" s="6" t="s">
        <v>119</v>
      </c>
      <c r="Q47" s="6" t="s">
        <v>119</v>
      </c>
    </row>
    <row r="48" customFormat="false" ht="15" hidden="false" customHeight="false" outlineLevel="0" collapsed="false">
      <c r="A48" s="6" t="s">
        <v>1109</v>
      </c>
      <c r="B48" s="6" t="s">
        <v>223</v>
      </c>
      <c r="C48" s="6" t="s">
        <v>222</v>
      </c>
      <c r="D48" s="6" t="s">
        <v>539</v>
      </c>
      <c r="E48" s="6" t="s">
        <v>2267</v>
      </c>
      <c r="F48" s="6" t="s">
        <v>2267</v>
      </c>
      <c r="G48" s="6" t="s">
        <v>573</v>
      </c>
      <c r="H48" s="6" t="s">
        <v>484</v>
      </c>
      <c r="I48" s="6" t="s">
        <v>119</v>
      </c>
      <c r="J48" s="6" t="s">
        <v>2264</v>
      </c>
      <c r="K48" s="6" t="n">
        <v>8</v>
      </c>
      <c r="L48" s="6" t="s">
        <v>119</v>
      </c>
      <c r="M48" s="6" t="s">
        <v>119</v>
      </c>
      <c r="N48" s="6" t="s">
        <v>532</v>
      </c>
      <c r="O48" s="6" t="s">
        <v>2268</v>
      </c>
      <c r="P48" s="6" t="s">
        <v>119</v>
      </c>
      <c r="Q48" s="6" t="s">
        <v>119</v>
      </c>
    </row>
    <row r="49" customFormat="false" ht="15" hidden="false" customHeight="false" outlineLevel="0" collapsed="false">
      <c r="A49" s="6" t="s">
        <v>1123</v>
      </c>
      <c r="B49" s="6" t="s">
        <v>273</v>
      </c>
      <c r="C49" s="6" t="s">
        <v>272</v>
      </c>
      <c r="D49" s="6" t="s">
        <v>539</v>
      </c>
      <c r="E49" s="6" t="s">
        <v>484</v>
      </c>
      <c r="F49" s="6" t="s">
        <v>573</v>
      </c>
      <c r="G49" s="6" t="s">
        <v>484</v>
      </c>
      <c r="H49" s="6" t="s">
        <v>589</v>
      </c>
      <c r="I49" s="6" t="s">
        <v>2264</v>
      </c>
      <c r="J49" s="6" t="s">
        <v>2264</v>
      </c>
      <c r="K49" s="6" t="n">
        <v>8</v>
      </c>
      <c r="L49" s="6" t="s">
        <v>119</v>
      </c>
      <c r="M49" s="6" t="s">
        <v>2264</v>
      </c>
      <c r="N49" s="6" t="s">
        <v>480</v>
      </c>
      <c r="O49" s="6" t="s">
        <v>2269</v>
      </c>
      <c r="P49" s="6" t="s">
        <v>119</v>
      </c>
      <c r="Q49" s="6" t="s">
        <v>119</v>
      </c>
    </row>
    <row r="50" customFormat="false" ht="15" hidden="false" customHeight="false" outlineLevel="0" collapsed="false">
      <c r="A50" s="6" t="s">
        <v>1138</v>
      </c>
      <c r="B50" s="6" t="s">
        <v>127</v>
      </c>
      <c r="C50" s="6" t="s">
        <v>126</v>
      </c>
      <c r="D50" s="6" t="s">
        <v>486</v>
      </c>
      <c r="E50" s="6" t="s">
        <v>2267</v>
      </c>
      <c r="F50" s="6" t="s">
        <v>2267</v>
      </c>
      <c r="G50" s="6" t="s">
        <v>589</v>
      </c>
      <c r="H50" s="6" t="s">
        <v>484</v>
      </c>
      <c r="I50" s="6" t="s">
        <v>119</v>
      </c>
      <c r="J50" s="6" t="s">
        <v>2264</v>
      </c>
      <c r="K50" s="6" t="n">
        <v>12</v>
      </c>
      <c r="L50" s="6" t="s">
        <v>119</v>
      </c>
      <c r="M50" s="6" t="s">
        <v>119</v>
      </c>
      <c r="N50" s="6" t="s">
        <v>480</v>
      </c>
      <c r="O50" s="6" t="s">
        <v>484</v>
      </c>
      <c r="P50" s="6" t="s">
        <v>119</v>
      </c>
      <c r="Q50" s="6" t="s">
        <v>119</v>
      </c>
    </row>
    <row r="51" customFormat="false" ht="15" hidden="false" customHeight="false" outlineLevel="0" collapsed="false">
      <c r="A51" s="6" t="s">
        <v>1150</v>
      </c>
      <c r="B51" s="6" t="s">
        <v>127</v>
      </c>
      <c r="C51" s="6" t="s">
        <v>126</v>
      </c>
      <c r="D51" s="6" t="s">
        <v>501</v>
      </c>
      <c r="E51" s="6" t="s">
        <v>2267</v>
      </c>
      <c r="F51" s="6" t="s">
        <v>589</v>
      </c>
      <c r="G51" s="6" t="s">
        <v>573</v>
      </c>
      <c r="H51" s="6" t="s">
        <v>484</v>
      </c>
      <c r="I51" s="6" t="s">
        <v>119</v>
      </c>
      <c r="J51" s="6" t="s">
        <v>2264</v>
      </c>
      <c r="K51" s="6" t="n">
        <v>12</v>
      </c>
      <c r="L51" s="6" t="s">
        <v>119</v>
      </c>
      <c r="M51" s="6" t="s">
        <v>119</v>
      </c>
      <c r="N51" s="6" t="s">
        <v>480</v>
      </c>
      <c r="O51" s="6" t="s">
        <v>484</v>
      </c>
      <c r="P51" s="6" t="s">
        <v>119</v>
      </c>
      <c r="Q51" s="6" t="s">
        <v>119</v>
      </c>
    </row>
    <row r="52" customFormat="false" ht="15" hidden="false" customHeight="false" outlineLevel="0" collapsed="false">
      <c r="A52" s="6" t="s">
        <v>1163</v>
      </c>
      <c r="B52" s="6" t="s">
        <v>223</v>
      </c>
      <c r="C52" s="6" t="s">
        <v>222</v>
      </c>
      <c r="D52" s="6" t="s">
        <v>568</v>
      </c>
      <c r="E52" s="6" t="s">
        <v>573</v>
      </c>
      <c r="F52" s="6" t="s">
        <v>484</v>
      </c>
      <c r="G52" s="6" t="s">
        <v>573</v>
      </c>
      <c r="H52" s="6" t="s">
        <v>573</v>
      </c>
      <c r="I52" s="6" t="s">
        <v>2264</v>
      </c>
      <c r="J52" s="6" t="s">
        <v>2264</v>
      </c>
      <c r="K52" s="6" t="n">
        <v>8</v>
      </c>
      <c r="L52" s="6" t="s">
        <v>119</v>
      </c>
      <c r="M52" s="6" t="s">
        <v>119</v>
      </c>
      <c r="N52" s="6" t="s">
        <v>480</v>
      </c>
      <c r="O52" s="6" t="s">
        <v>2269</v>
      </c>
      <c r="P52" s="6" t="s">
        <v>119</v>
      </c>
      <c r="Q52" s="6" t="s">
        <v>119</v>
      </c>
    </row>
    <row r="53" customFormat="false" ht="15" hidden="false" customHeight="false" outlineLevel="0" collapsed="false">
      <c r="A53" s="6" t="s">
        <v>1176</v>
      </c>
      <c r="B53" s="6" t="s">
        <v>383</v>
      </c>
      <c r="C53" s="6" t="s">
        <v>374</v>
      </c>
      <c r="D53" s="6" t="s">
        <v>539</v>
      </c>
      <c r="E53" s="6" t="s">
        <v>484</v>
      </c>
      <c r="F53" s="6" t="s">
        <v>573</v>
      </c>
      <c r="G53" s="6" t="s">
        <v>484</v>
      </c>
      <c r="H53" s="6" t="s">
        <v>589</v>
      </c>
      <c r="I53" s="6" t="s">
        <v>2264</v>
      </c>
      <c r="J53" s="6" t="s">
        <v>2264</v>
      </c>
      <c r="K53" s="6" t="n">
        <v>7</v>
      </c>
      <c r="L53" s="6" t="s">
        <v>119</v>
      </c>
      <c r="M53" s="6" t="s">
        <v>2264</v>
      </c>
      <c r="N53" s="6" t="s">
        <v>480</v>
      </c>
      <c r="O53" s="6" t="s">
        <v>2269</v>
      </c>
      <c r="P53" s="6" t="s">
        <v>119</v>
      </c>
      <c r="Q53" s="6" t="s">
        <v>2264</v>
      </c>
    </row>
    <row r="54" customFormat="false" ht="15" hidden="false" customHeight="false" outlineLevel="0" collapsed="false">
      <c r="A54" s="6" t="s">
        <v>1189</v>
      </c>
      <c r="B54" s="6" t="s">
        <v>257</v>
      </c>
      <c r="C54" s="6" t="s">
        <v>256</v>
      </c>
      <c r="D54" s="6" t="s">
        <v>501</v>
      </c>
      <c r="E54" s="6" t="s">
        <v>484</v>
      </c>
      <c r="F54" s="6" t="s">
        <v>484</v>
      </c>
      <c r="G54" s="6" t="s">
        <v>589</v>
      </c>
      <c r="H54" s="6" t="s">
        <v>589</v>
      </c>
      <c r="I54" s="6" t="s">
        <v>119</v>
      </c>
      <c r="J54" s="6" t="s">
        <v>2264</v>
      </c>
      <c r="K54" s="6" t="n">
        <v>12</v>
      </c>
      <c r="L54" s="6" t="s">
        <v>119</v>
      </c>
      <c r="M54" s="6" t="s">
        <v>119</v>
      </c>
      <c r="N54" s="6" t="s">
        <v>532</v>
      </c>
      <c r="O54" s="6" t="s">
        <v>2268</v>
      </c>
      <c r="P54" s="6" t="s">
        <v>2264</v>
      </c>
      <c r="Q54" s="6" t="s">
        <v>119</v>
      </c>
    </row>
    <row r="55" customFormat="false" ht="15" hidden="false" customHeight="false" outlineLevel="0" collapsed="false">
      <c r="A55" s="6" t="s">
        <v>1200</v>
      </c>
      <c r="B55" s="6" t="s">
        <v>195</v>
      </c>
      <c r="C55" s="6" t="s">
        <v>194</v>
      </c>
      <c r="D55" s="6" t="s">
        <v>501</v>
      </c>
      <c r="E55" s="6" t="s">
        <v>589</v>
      </c>
      <c r="F55" s="6" t="s">
        <v>589</v>
      </c>
      <c r="G55" s="6" t="s">
        <v>589</v>
      </c>
      <c r="H55" s="6" t="s">
        <v>484</v>
      </c>
      <c r="I55" s="6" t="s">
        <v>119</v>
      </c>
      <c r="J55" s="6" t="s">
        <v>2264</v>
      </c>
      <c r="K55" s="6" t="n">
        <v>5</v>
      </c>
      <c r="L55" s="6" t="s">
        <v>119</v>
      </c>
      <c r="M55" s="6" t="s">
        <v>119</v>
      </c>
      <c r="N55" s="6" t="s">
        <v>480</v>
      </c>
      <c r="O55" s="6" t="s">
        <v>2270</v>
      </c>
      <c r="P55" s="6" t="s">
        <v>119</v>
      </c>
      <c r="Q55" s="6" t="s">
        <v>119</v>
      </c>
    </row>
    <row r="56" customFormat="false" ht="15" hidden="false" customHeight="false" outlineLevel="0" collapsed="false">
      <c r="A56" s="6" t="s">
        <v>1215</v>
      </c>
      <c r="B56" s="6" t="s">
        <v>157</v>
      </c>
      <c r="C56" s="6" t="s">
        <v>156</v>
      </c>
      <c r="D56" s="6" t="s">
        <v>539</v>
      </c>
      <c r="E56" s="6" t="s">
        <v>2267</v>
      </c>
      <c r="F56" s="6" t="s">
        <v>2267</v>
      </c>
      <c r="G56" s="6" t="s">
        <v>589</v>
      </c>
      <c r="H56" s="6" t="s">
        <v>589</v>
      </c>
      <c r="I56" s="6" t="s">
        <v>2264</v>
      </c>
      <c r="J56" s="6" t="s">
        <v>2264</v>
      </c>
      <c r="K56" s="6" t="n">
        <v>5</v>
      </c>
      <c r="L56" s="6" t="s">
        <v>119</v>
      </c>
      <c r="M56" s="6" t="s">
        <v>2264</v>
      </c>
      <c r="N56" s="6" t="s">
        <v>480</v>
      </c>
      <c r="O56" s="6" t="s">
        <v>2268</v>
      </c>
      <c r="P56" s="6" t="s">
        <v>2264</v>
      </c>
      <c r="Q56" s="6" t="s">
        <v>119</v>
      </c>
    </row>
    <row r="57" customFormat="false" ht="15" hidden="false" customHeight="false" outlineLevel="0" collapsed="false">
      <c r="A57" s="6" t="s">
        <v>1228</v>
      </c>
      <c r="B57" s="6" t="s">
        <v>170</v>
      </c>
      <c r="C57" s="6" t="s">
        <v>169</v>
      </c>
      <c r="D57" s="6" t="s">
        <v>486</v>
      </c>
      <c r="E57" s="6" t="s">
        <v>2267</v>
      </c>
      <c r="F57" s="6" t="s">
        <v>2267</v>
      </c>
      <c r="G57" s="6" t="s">
        <v>573</v>
      </c>
      <c r="H57" s="6" t="s">
        <v>573</v>
      </c>
      <c r="I57" s="6" t="s">
        <v>2264</v>
      </c>
      <c r="J57" s="6" t="s">
        <v>2264</v>
      </c>
      <c r="K57" s="6" t="n">
        <v>9</v>
      </c>
      <c r="L57" s="6" t="s">
        <v>119</v>
      </c>
      <c r="M57" s="6" t="s">
        <v>119</v>
      </c>
      <c r="N57" s="6" t="s">
        <v>480</v>
      </c>
      <c r="O57" s="6" t="s">
        <v>2270</v>
      </c>
      <c r="P57" s="6" t="s">
        <v>119</v>
      </c>
      <c r="Q57" s="6" t="s">
        <v>119</v>
      </c>
    </row>
    <row r="58" customFormat="false" ht="15" hidden="false" customHeight="false" outlineLevel="0" collapsed="false">
      <c r="A58" s="6" t="s">
        <v>1241</v>
      </c>
      <c r="B58" s="6" t="s">
        <v>266</v>
      </c>
      <c r="C58" s="6" t="s">
        <v>265</v>
      </c>
      <c r="D58" s="6" t="s">
        <v>539</v>
      </c>
      <c r="E58" s="6" t="s">
        <v>589</v>
      </c>
      <c r="F58" s="6" t="s">
        <v>589</v>
      </c>
      <c r="G58" s="6" t="s">
        <v>589</v>
      </c>
      <c r="H58" s="6" t="s">
        <v>589</v>
      </c>
      <c r="I58" s="6" t="s">
        <v>2264</v>
      </c>
      <c r="J58" s="6" t="s">
        <v>119</v>
      </c>
      <c r="K58" s="6" t="n">
        <v>2</v>
      </c>
      <c r="L58" s="6" t="s">
        <v>2264</v>
      </c>
      <c r="M58" s="6" t="s">
        <v>119</v>
      </c>
      <c r="N58" s="6" t="s">
        <v>532</v>
      </c>
      <c r="O58" s="6" t="s">
        <v>2269</v>
      </c>
      <c r="P58" s="6" t="s">
        <v>119</v>
      </c>
      <c r="Q58" s="6" t="s">
        <v>119</v>
      </c>
    </row>
    <row r="59" customFormat="false" ht="15" hidden="false" customHeight="false" outlineLevel="0" collapsed="false">
      <c r="A59" s="6" t="s">
        <v>1253</v>
      </c>
      <c r="B59" s="6" t="s">
        <v>252</v>
      </c>
      <c r="C59" s="6" t="s">
        <v>251</v>
      </c>
      <c r="D59" s="6" t="s">
        <v>539</v>
      </c>
      <c r="E59" s="6" t="s">
        <v>484</v>
      </c>
      <c r="F59" s="6" t="s">
        <v>573</v>
      </c>
      <c r="G59" s="6" t="s">
        <v>484</v>
      </c>
      <c r="H59" s="6" t="s">
        <v>589</v>
      </c>
      <c r="I59" s="6" t="s">
        <v>2264</v>
      </c>
      <c r="J59" s="6" t="s">
        <v>2264</v>
      </c>
      <c r="K59" s="6" t="n">
        <v>8</v>
      </c>
      <c r="L59" s="6" t="s">
        <v>119</v>
      </c>
      <c r="M59" s="6" t="s">
        <v>2264</v>
      </c>
      <c r="N59" s="6" t="s">
        <v>480</v>
      </c>
      <c r="O59" s="6" t="s">
        <v>2269</v>
      </c>
      <c r="P59" s="6" t="s">
        <v>119</v>
      </c>
      <c r="Q59" s="6" t="s">
        <v>119</v>
      </c>
    </row>
    <row r="60" customFormat="false" ht="15" hidden="false" customHeight="false" outlineLevel="0" collapsed="false">
      <c r="A60" s="6" t="s">
        <v>1264</v>
      </c>
      <c r="B60" s="6" t="s">
        <v>231</v>
      </c>
      <c r="C60" s="6" t="s">
        <v>230</v>
      </c>
      <c r="D60" s="6" t="s">
        <v>539</v>
      </c>
      <c r="E60" s="6" t="s">
        <v>484</v>
      </c>
      <c r="F60" s="6" t="s">
        <v>589</v>
      </c>
      <c r="G60" s="6" t="s">
        <v>573</v>
      </c>
      <c r="H60" s="6" t="s">
        <v>484</v>
      </c>
      <c r="I60" s="6" t="s">
        <v>119</v>
      </c>
      <c r="J60" s="6" t="s">
        <v>119</v>
      </c>
      <c r="K60" s="6" t="n">
        <v>6</v>
      </c>
      <c r="L60" s="6" t="s">
        <v>119</v>
      </c>
      <c r="M60" s="6" t="s">
        <v>119</v>
      </c>
      <c r="N60" s="6" t="s">
        <v>480</v>
      </c>
      <c r="O60" s="6" t="s">
        <v>484</v>
      </c>
      <c r="P60" s="6" t="s">
        <v>119</v>
      </c>
      <c r="Q60" s="6" t="s">
        <v>119</v>
      </c>
    </row>
    <row r="61" customFormat="false" ht="15" hidden="false" customHeight="false" outlineLevel="0" collapsed="false">
      <c r="A61" s="6" t="s">
        <v>1277</v>
      </c>
      <c r="B61" s="6" t="s">
        <v>231</v>
      </c>
      <c r="C61" s="6" t="s">
        <v>230</v>
      </c>
      <c r="D61" s="6" t="s">
        <v>539</v>
      </c>
      <c r="E61" s="6" t="s">
        <v>484</v>
      </c>
      <c r="F61" s="6" t="s">
        <v>573</v>
      </c>
      <c r="G61" s="6" t="s">
        <v>2266</v>
      </c>
      <c r="H61" s="6" t="s">
        <v>484</v>
      </c>
      <c r="I61" s="6" t="s">
        <v>119</v>
      </c>
      <c r="J61" s="6" t="s">
        <v>2264</v>
      </c>
      <c r="K61" s="6" t="n">
        <v>10</v>
      </c>
      <c r="L61" s="6" t="s">
        <v>119</v>
      </c>
      <c r="M61" s="6" t="s">
        <v>119</v>
      </c>
      <c r="N61" s="6" t="s">
        <v>480</v>
      </c>
      <c r="O61" s="6" t="s">
        <v>2271</v>
      </c>
      <c r="P61" s="6" t="s">
        <v>119</v>
      </c>
      <c r="Q61" s="6" t="s">
        <v>119</v>
      </c>
    </row>
    <row r="62" customFormat="false" ht="15" hidden="false" customHeight="false" outlineLevel="0" collapsed="false">
      <c r="A62" s="6" t="s">
        <v>1288</v>
      </c>
      <c r="B62" s="6" t="s">
        <v>292</v>
      </c>
      <c r="C62" s="6" t="s">
        <v>291</v>
      </c>
      <c r="D62" s="6" t="s">
        <v>486</v>
      </c>
      <c r="E62" s="6" t="s">
        <v>573</v>
      </c>
      <c r="F62" s="6" t="s">
        <v>484</v>
      </c>
      <c r="G62" s="6" t="s">
        <v>573</v>
      </c>
      <c r="H62" s="6" t="s">
        <v>484</v>
      </c>
      <c r="I62" s="6" t="s">
        <v>119</v>
      </c>
      <c r="J62" s="6" t="s">
        <v>2264</v>
      </c>
      <c r="K62" s="6" t="n">
        <v>5</v>
      </c>
      <c r="L62" s="6" t="s">
        <v>119</v>
      </c>
      <c r="M62" s="6" t="s">
        <v>119</v>
      </c>
      <c r="N62" s="6" t="s">
        <v>480</v>
      </c>
      <c r="O62" s="6" t="s">
        <v>484</v>
      </c>
      <c r="P62" s="6" t="s">
        <v>119</v>
      </c>
      <c r="Q62" s="6" t="s">
        <v>119</v>
      </c>
    </row>
    <row r="63" customFormat="false" ht="15" hidden="false" customHeight="false" outlineLevel="0" collapsed="false">
      <c r="A63" s="6" t="s">
        <v>1297</v>
      </c>
      <c r="B63" s="6" t="s">
        <v>508</v>
      </c>
      <c r="C63" s="6" t="s">
        <v>143</v>
      </c>
      <c r="D63" s="6" t="s">
        <v>486</v>
      </c>
      <c r="E63" s="6" t="s">
        <v>2267</v>
      </c>
      <c r="F63" s="6" t="s">
        <v>484</v>
      </c>
      <c r="G63" s="6" t="s">
        <v>589</v>
      </c>
      <c r="H63" s="6" t="s">
        <v>484</v>
      </c>
      <c r="I63" s="6" t="s">
        <v>119</v>
      </c>
      <c r="J63" s="6" t="s">
        <v>2264</v>
      </c>
      <c r="K63" s="6" t="n">
        <v>8</v>
      </c>
      <c r="L63" s="6" t="s">
        <v>119</v>
      </c>
      <c r="M63" s="6" t="s">
        <v>119</v>
      </c>
      <c r="N63" s="6" t="s">
        <v>480</v>
      </c>
      <c r="O63" s="6" t="s">
        <v>484</v>
      </c>
      <c r="P63" s="6" t="s">
        <v>119</v>
      </c>
      <c r="Q63" s="6" t="s">
        <v>119</v>
      </c>
    </row>
    <row r="64" customFormat="false" ht="15" hidden="false" customHeight="false" outlineLevel="0" collapsed="false">
      <c r="A64" s="6" t="s">
        <v>1310</v>
      </c>
      <c r="B64" s="6" t="s">
        <v>204</v>
      </c>
      <c r="C64" s="6" t="s">
        <v>203</v>
      </c>
      <c r="D64" s="6" t="s">
        <v>539</v>
      </c>
      <c r="E64" s="6" t="s">
        <v>484</v>
      </c>
      <c r="F64" s="6" t="s">
        <v>484</v>
      </c>
      <c r="G64" s="6" t="s">
        <v>484</v>
      </c>
      <c r="H64" s="6" t="s">
        <v>2265</v>
      </c>
      <c r="I64" s="6" t="s">
        <v>2264</v>
      </c>
      <c r="J64" s="6" t="s">
        <v>2264</v>
      </c>
      <c r="K64" s="6" t="n">
        <v>6</v>
      </c>
      <c r="L64" s="6" t="s">
        <v>119</v>
      </c>
      <c r="M64" s="6" t="s">
        <v>119</v>
      </c>
      <c r="N64" s="6" t="s">
        <v>480</v>
      </c>
      <c r="O64" s="6" t="s">
        <v>484</v>
      </c>
      <c r="P64" s="6" t="s">
        <v>119</v>
      </c>
      <c r="Q64" s="6" t="s">
        <v>119</v>
      </c>
    </row>
    <row r="65" customFormat="false" ht="15" hidden="false" customHeight="false" outlineLevel="0" collapsed="false">
      <c r="A65" s="6" t="s">
        <v>1321</v>
      </c>
      <c r="B65" s="6" t="s">
        <v>508</v>
      </c>
      <c r="C65" s="6" t="s">
        <v>143</v>
      </c>
      <c r="D65" s="6" t="s">
        <v>486</v>
      </c>
      <c r="E65" s="6" t="s">
        <v>573</v>
      </c>
      <c r="F65" s="6" t="s">
        <v>484</v>
      </c>
      <c r="G65" s="6" t="s">
        <v>589</v>
      </c>
      <c r="H65" s="6" t="s">
        <v>484</v>
      </c>
      <c r="I65" s="6" t="s">
        <v>119</v>
      </c>
      <c r="J65" s="6" t="s">
        <v>2264</v>
      </c>
      <c r="K65" s="6" t="n">
        <v>8</v>
      </c>
      <c r="L65" s="6" t="s">
        <v>119</v>
      </c>
      <c r="M65" s="6" t="s">
        <v>119</v>
      </c>
      <c r="N65" s="6" t="s">
        <v>480</v>
      </c>
      <c r="O65" s="6" t="s">
        <v>484</v>
      </c>
      <c r="P65" s="6" t="s">
        <v>119</v>
      </c>
      <c r="Q65" s="6" t="s">
        <v>119</v>
      </c>
    </row>
    <row r="66" customFormat="false" ht="15" hidden="false" customHeight="false" outlineLevel="0" collapsed="false">
      <c r="A66" s="6" t="s">
        <v>1335</v>
      </c>
      <c r="B66" s="6" t="s">
        <v>508</v>
      </c>
      <c r="C66" s="6" t="s">
        <v>143</v>
      </c>
      <c r="D66" s="6" t="s">
        <v>568</v>
      </c>
      <c r="E66" s="6" t="s">
        <v>573</v>
      </c>
      <c r="F66" s="6" t="s">
        <v>589</v>
      </c>
      <c r="G66" s="6" t="s">
        <v>573</v>
      </c>
      <c r="H66" s="6" t="s">
        <v>573</v>
      </c>
      <c r="I66" s="6" t="s">
        <v>2264</v>
      </c>
      <c r="J66" s="6" t="s">
        <v>2264</v>
      </c>
      <c r="K66" s="6" t="n">
        <v>10</v>
      </c>
      <c r="L66" s="6" t="s">
        <v>119</v>
      </c>
      <c r="M66" s="6" t="s">
        <v>119</v>
      </c>
      <c r="N66" s="6" t="s">
        <v>480</v>
      </c>
      <c r="O66" s="6" t="s">
        <v>484</v>
      </c>
      <c r="P66" s="6" t="s">
        <v>119</v>
      </c>
      <c r="Q66" s="6" t="s">
        <v>119</v>
      </c>
    </row>
    <row r="67" customFormat="false" ht="15" hidden="false" customHeight="false" outlineLevel="0" collapsed="false">
      <c r="A67" s="6" t="s">
        <v>1346</v>
      </c>
      <c r="B67" s="6" t="s">
        <v>384</v>
      </c>
      <c r="C67" s="6" t="s">
        <v>374</v>
      </c>
      <c r="D67" s="6" t="s">
        <v>539</v>
      </c>
      <c r="E67" s="6" t="s">
        <v>2267</v>
      </c>
      <c r="F67" s="6" t="s">
        <v>2267</v>
      </c>
      <c r="G67" s="6" t="s">
        <v>573</v>
      </c>
      <c r="H67" s="6" t="s">
        <v>573</v>
      </c>
      <c r="I67" s="6" t="s">
        <v>119</v>
      </c>
      <c r="J67" s="6" t="s">
        <v>2264</v>
      </c>
      <c r="K67" s="6" t="n">
        <v>5</v>
      </c>
      <c r="L67" s="6" t="s">
        <v>119</v>
      </c>
      <c r="M67" s="6" t="s">
        <v>119</v>
      </c>
      <c r="N67" s="6" t="s">
        <v>480</v>
      </c>
      <c r="O67" s="6" t="s">
        <v>484</v>
      </c>
      <c r="P67" s="6" t="s">
        <v>119</v>
      </c>
      <c r="Q67" s="6" t="s">
        <v>2264</v>
      </c>
    </row>
    <row r="68" customFormat="false" ht="15" hidden="false" customHeight="false" outlineLevel="0" collapsed="false">
      <c r="A68" s="6" t="s">
        <v>1362</v>
      </c>
      <c r="B68" s="6" t="s">
        <v>385</v>
      </c>
      <c r="C68" s="6" t="s">
        <v>374</v>
      </c>
      <c r="D68" s="6" t="s">
        <v>568</v>
      </c>
      <c r="E68" s="6" t="s">
        <v>2267</v>
      </c>
      <c r="F68" s="6" t="s">
        <v>484</v>
      </c>
      <c r="G68" s="6" t="s">
        <v>573</v>
      </c>
      <c r="H68" s="6" t="s">
        <v>573</v>
      </c>
      <c r="I68" s="6" t="s">
        <v>2264</v>
      </c>
      <c r="J68" s="6" t="s">
        <v>119</v>
      </c>
      <c r="K68" s="6" t="n">
        <v>5</v>
      </c>
      <c r="L68" s="6" t="s">
        <v>119</v>
      </c>
      <c r="M68" s="6" t="s">
        <v>119</v>
      </c>
      <c r="N68" s="6" t="s">
        <v>480</v>
      </c>
      <c r="O68" s="6" t="s">
        <v>484</v>
      </c>
      <c r="P68" s="6" t="s">
        <v>119</v>
      </c>
      <c r="Q68" s="6" t="s">
        <v>2264</v>
      </c>
    </row>
    <row r="69" customFormat="false" ht="15" hidden="false" customHeight="false" outlineLevel="0" collapsed="false">
      <c r="A69" s="6" t="s">
        <v>1375</v>
      </c>
      <c r="B69" s="6" t="s">
        <v>386</v>
      </c>
      <c r="C69" s="6" t="s">
        <v>374</v>
      </c>
      <c r="D69" s="6" t="s">
        <v>486</v>
      </c>
      <c r="E69" s="6" t="s">
        <v>2267</v>
      </c>
      <c r="F69" s="6" t="s">
        <v>2267</v>
      </c>
      <c r="G69" s="6" t="s">
        <v>573</v>
      </c>
      <c r="H69" s="6" t="s">
        <v>573</v>
      </c>
      <c r="I69" s="6" t="s">
        <v>2264</v>
      </c>
      <c r="J69" s="6" t="s">
        <v>2264</v>
      </c>
      <c r="K69" s="6" t="n">
        <v>4</v>
      </c>
      <c r="L69" s="6" t="s">
        <v>2264</v>
      </c>
      <c r="M69" s="6" t="s">
        <v>119</v>
      </c>
      <c r="N69" s="6" t="s">
        <v>532</v>
      </c>
      <c r="O69" s="6" t="s">
        <v>484</v>
      </c>
      <c r="P69" s="6" t="s">
        <v>119</v>
      </c>
      <c r="Q69" s="6" t="s">
        <v>2264</v>
      </c>
    </row>
    <row r="70" customFormat="false" ht="15" hidden="false" customHeight="false" outlineLevel="0" collapsed="false">
      <c r="A70" s="6" t="s">
        <v>1386</v>
      </c>
      <c r="B70" s="6" t="s">
        <v>306</v>
      </c>
      <c r="C70" s="6" t="s">
        <v>305</v>
      </c>
      <c r="D70" s="6" t="s">
        <v>539</v>
      </c>
      <c r="E70" s="6" t="s">
        <v>2267</v>
      </c>
      <c r="F70" s="6" t="s">
        <v>2267</v>
      </c>
      <c r="G70" s="6" t="s">
        <v>484</v>
      </c>
      <c r="H70" s="6" t="s">
        <v>484</v>
      </c>
      <c r="I70" s="6" t="s">
        <v>119</v>
      </c>
      <c r="J70" s="6" t="s">
        <v>119</v>
      </c>
      <c r="K70" s="6" t="n">
        <v>5</v>
      </c>
      <c r="L70" s="6" t="s">
        <v>119</v>
      </c>
      <c r="M70" s="6" t="s">
        <v>2264</v>
      </c>
      <c r="N70" s="6" t="s">
        <v>480</v>
      </c>
      <c r="O70" s="6" t="s">
        <v>484</v>
      </c>
      <c r="P70" s="6" t="s">
        <v>119</v>
      </c>
      <c r="Q70" s="6" t="s">
        <v>119</v>
      </c>
    </row>
    <row r="71" customFormat="false" ht="15" hidden="false" customHeight="false" outlineLevel="0" collapsed="false">
      <c r="A71" s="6" t="s">
        <v>1396</v>
      </c>
      <c r="B71" s="6" t="s">
        <v>155</v>
      </c>
      <c r="C71" s="6" t="s">
        <v>154</v>
      </c>
      <c r="D71" s="6" t="s">
        <v>539</v>
      </c>
      <c r="E71" s="6" t="s">
        <v>2267</v>
      </c>
      <c r="F71" s="6" t="s">
        <v>2267</v>
      </c>
      <c r="G71" s="6" t="s">
        <v>573</v>
      </c>
      <c r="H71" s="6" t="s">
        <v>573</v>
      </c>
      <c r="I71" s="6" t="s">
        <v>2264</v>
      </c>
      <c r="J71" s="6" t="s">
        <v>2264</v>
      </c>
      <c r="K71" s="6" t="n">
        <v>8</v>
      </c>
      <c r="L71" s="6" t="s">
        <v>119</v>
      </c>
      <c r="M71" s="6" t="s">
        <v>2264</v>
      </c>
      <c r="N71" s="6" t="s">
        <v>480</v>
      </c>
      <c r="O71" s="6" t="s">
        <v>2269</v>
      </c>
      <c r="P71" s="6" t="s">
        <v>119</v>
      </c>
      <c r="Q71" s="6"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2026-10-28T05:51:12Z</dcterms:created>
  <dc:creator>openpyxl</dc:creator>
  <dc:description/>
  <dc:language>en-US</dc:language>
  <cp:lastModifiedBy/>
  <dcterms:modified xsi:type="dcterms:W3CDTF">2026-10-28T05:51:12Z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