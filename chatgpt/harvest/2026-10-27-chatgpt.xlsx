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4d852cd464c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ee34666df3b4613"/>
    <x:sheet xmlns:r="http://schemas.openxmlformats.org/officeDocument/2006/relationships" name="Companies" sheetId="2" r:id="R6e797fb677e04339"/>
    <x:sheet xmlns:r="http://schemas.openxmlformats.org/officeDocument/2006/relationships" name="JDs" sheetId="3" r:id="R3add76850b584389"/>
    <x:sheet xmlns:r="http://schemas.openxmlformats.org/officeDocument/2006/relationships" name="LinkedIn" sheetId="4" r:id="R1728ba96c7c440a0"/>
    <x:sheet xmlns:r="http://schemas.openxmlformats.org/officeDocument/2006/relationships" name="Naukri" sheetId="5" r:id="R4946c95d85114a8f"/>
    <x:sheet xmlns:r="http://schemas.openxmlformats.org/officeDocument/2006/relationships" name="Excluded" sheetId="6" r:id="Rfc6d3049ca9c47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032efff51c4539" /><Relationship Type="http://schemas.openxmlformats.org/officeDocument/2006/relationships/theme" Target="/xl/theme/theme1.xml" Id="Rb10f2a34bf9b49ff" /><Relationship Type="http://schemas.openxmlformats.org/officeDocument/2006/relationships/sharedStrings" Target="/xl/sharedStrings.xml" Id="R965d44cdadbf4990" /><Relationship Type="http://schemas.openxmlformats.org/officeDocument/2006/relationships/worksheet" Target="/xl/worksheets/sheet1.xml" Id="Raee34666df3b4613" /><Relationship Type="http://schemas.openxmlformats.org/officeDocument/2006/relationships/worksheet" Target="/xl/worksheets/sheet2.xml" Id="R6e797fb677e04339" /><Relationship Type="http://schemas.openxmlformats.org/officeDocument/2006/relationships/worksheet" Target="/xl/worksheets/sheet3.xml" Id="R3add76850b584389" /><Relationship Type="http://schemas.openxmlformats.org/officeDocument/2006/relationships/worksheet" Target="/xl/worksheets/sheet4.xml" Id="R1728ba96c7c440a0" /><Relationship Type="http://schemas.openxmlformats.org/officeDocument/2006/relationships/worksheet" Target="/xl/worksheets/sheet5.xml" Id="R4946c95d85114a8f" /><Relationship Type="http://schemas.openxmlformats.org/officeDocument/2006/relationships/worksheet" Target="/xl/worksheets/sheet6.xml" Id="Rfc6d3049ca9c4751" /></Relationships>
</file>

<file path=xl/tables/table1.xml><?xml version="1.0" encoding="utf-8"?>
<x:table xmlns:x="http://schemas.openxmlformats.org/spreadsheetml/2006/main" id="1" name="CompaniesTable" displayName="CompaniesTable" ref="A1:I101" headerRowCount="1" totalsRowCount="0" totalsRowShown="0">
  <x:tableColumns count="9">
    <x:tableColumn id="1" name="no"/>
    <x:tableColumn id="2" name="company"/>
    <x:tableColumn id="3" name="region"/>
    <x:tableColumn id="4" name="country"/>
    <x:tableColumn id="5" name="target_locations"/>
    <x:tableColumn id="6" name="searched_on"/>
    <x:tableColumn id="7" name="postings_read"/>
    <x:tableColumn id="8" name="accepted"/>
    <x:tableColumn id="9" name="result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JDsTable" displayName="JDsTable" ref="A1:AN9" headerRowCount="1" totalsRowCount="0" totalsRowShown="0">
  <x:tableColumns count="40">
    <x:tableColumn id="1" name="id"/>
    <x:tableColumn id="2" name="company_no"/>
    <x:tableColumn id="3" name="region"/>
    <x:tableColumn id="4" name="country"/>
    <x:tableColumn id="5" name="city"/>
    <x:tableColumn id="6" name="employer"/>
    <x:tableColumn id="7" name="title"/>
    <x:tableColumn id="8" name="req_id"/>
    <x:tableColumn id="9" name="url"/>
    <x:tableColumn id="10" name="source"/>
    <x:tableColumn id="11" name="retrieved"/>
    <x:tableColumn id="12" name="posted"/>
    <x:tableColumn id="13" name="status"/>
    <x:tableColumn id="14" name="work_summary"/>
    <x:tableColumn id="15" name="build_share"/>
    <x:tableColumn id="16" name="level"/>
    <x:tableColumn id="17" name="years_asked"/>
    <x:tableColumn id="18" name="langs_required"/>
    <x:tableColumn id="19" name="langs_alt_or_optional"/>
    <x:tableColumn id="20" name="skills_required"/>
    <x:tableColumn id="21" name="skills_preferred"/>
    <x:tableColumn id="22" name="lane"/>
    <x:tableColumn id="23" name="prod_history_screen"/>
    <x:tableColumn id="24" name="om_evidence"/>
    <x:tableColumn id="25" name="work_model"/>
    <x:tableColumn id="26" name="pay_stated"/>
    <x:tableColumn id="27" name="english_team"/>
    <x:tableColumn id="28" name="local_language"/>
    <x:tableColumn id="29" name="language_years_screen"/>
    <x:tableColumn id="30" name="interview_format"/>
    <x:tableColumn id="31" name="where_held"/>
    <x:tableColumn id="32" name="india_candidates"/>
    <x:tableColumn id="33" name="ai_infra"/>
    <x:tableColumn id="34" name="ai_terms"/>
    <x:tableColumn id="35" name="ai_req"/>
    <x:tableColumn id="36" name="helm"/>
    <x:tableColumn id="37" name="public_cloud"/>
    <x:tableColumn id="38" name="terraform"/>
    <x:tableColumn id="39" name="k8s_controllers"/>
    <x:tableColumn id="4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ludedTable" displayName="ExcludedTable" ref="A1:F56" headerRowCount="1" totalsRowCount="0" totalsRowShown="0">
  <x:tableColumns count="6">
    <x:tableColumn id="1" name="id"/>
    <x:tableColumn id="2" name="employer"/>
    <x:tableColumn id="3" name="title"/>
    <x:tableColumn id="4" name="url"/>
    <x:tableColumn id="5" name="retrieved"/>
    <x:tableColumn id="6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d9fb919bee49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cf59930e36428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6784080ffb74c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00" hidden="0" customWidth="1"/>
  </x:cols>
  <x:sheetData>
    <x:row r="2">
      <x:c r="A2" s="9" t="str">
        <x:v>JD harvest run 1: 27 October 2026</x:v>
      </x:c>
    </x:row>
    <x:row r="4" ht="30" customHeight="1">
      <x:c r="A4" s="12" t="str">
        <x:v>Metric</x:v>
      </x:c>
      <x:c r="B4" s="12" t="str">
        <x:v>Count</x:v>
      </x:c>
      <x:c r="C4" s="12" t="str">
        <x:v>Meaning</x:v>
      </x:c>
    </x:row>
    <x:row r="5" ht="30" customHeight="1">
      <x:c r="A5" s="10" t="str">
        <x:v>Companies searched</x:v>
      </x:c>
      <x:c r="B5" s="10" t="n">
        <x:f>COUNT(Companies!G2:G101)</x:f>
        <x:v>75</x:v>
      </x:c>
      <x:c r="C5" s="13" t="str">
        <x:v>Precommitted list: 50 India; 10 in each of five international countries.</x:v>
      </x:c>
    </x:row>
    <x:row r="6" ht="30" customHeight="1">
      <x:c r="A6" s="10" t="str">
        <x:v>Accepted</x:v>
      </x:c>
      <x:c r="B6" s="10" t="n">
        <x:f>COUNTA('JDs'!A2:A101)+COUNTA('LinkedIn'!A2:A101)+COUNTA('Naukri'!A2:A101)</x:f>
        <x:v>8</x:v>
      </x:c>
      <x:c r="C6" s="13" t="str">
        <x:v>Dated, readable, open postings only. Unknown posting dates are excluded under the user cutoff.</x:v>
      </x:c>
    </x:row>
    <x:row r="7" ht="30" customHeight="1">
      <x:c r="A7" s="10" t="str">
        <x:v>Excluded</x:v>
      </x:c>
      <x:c r="B7" s="10" t="n">
        <x:f>COUNTA(Excluded!A2:A501)</x:f>
        <x:v>55</x:v>
      </x:c>
      <x:c r="C7" s="13" t="str">
        <x:v>One recorded reason per candidate. Company-level no-match results are not invented jobs.</x:v>
      </x:c>
    </x:row>
    <x:row r="8" ht="30" customHeight="1">
      <x:c r="A8" s="10" t="str">
        <x:v>JDs</x:v>
      </x:c>
      <x:c r="B8" s="10" t="n">
        <x:f>COUNTA('JDs'!A2:A101)</x:f>
        <x:v>8</x:v>
      </x:c>
      <x:c r="C8" s="13" t="str">
        <x:v>Employer/ATS and readable boards.</x:v>
      </x:c>
    </x:row>
    <x:row r="9" ht="30" customHeight="1">
      <x:c r="A9" s="10" t="str">
        <x:v>LinkedIn</x:v>
      </x:c>
      <x:c r="B9" s="10" t="n">
        <x:f>COUNTA('LinkedIn'!A2:A101)</x:f>
        <x:v>0</x:v>
      </x:c>
      <x:c r="C9" s="13" t="str">
        <x:v>LinkedIn leads resolved to employer pages, or Om-supplied posts.</x:v>
      </x:c>
    </x:row>
    <x:row r="10" ht="30" customHeight="1">
      <x:c r="A10" s="10" t="str">
        <x:v>Naukri</x:v>
      </x:c>
      <x:c r="B10" s="10" t="n">
        <x:f>COUNTA('Naukri'!A2:A101)</x:f>
        <x:v>0</x:v>
      </x:c>
      <x:c r="C10" s="13" t="str">
        <x:v>Naukri leads resolved to employer pages, or Om-supplied posts.</x:v>
      </x:c>
    </x:row>
    <x:row r="11" ht="30" customHeight="1">
      <x:c r="A11" s="10" t="str">
        <x:v>India lane a</x:v>
      </x:c>
      <x:c r="B11" s="10" t="n">
        <x:f>COUNTIFS('JDs'!$V$2:$V$101,"a",'JDs'!$C$2:$C$101,"India")+COUNTIFS('LinkedIn'!$V$2:$V$101,"a",'LinkedIn'!$C$2:$C$101,"India")+COUNTIFS('Naukri'!$V$2:$V$101,"a",'Naukri'!$C$2:$C$101,"India")</x:f>
        <x:v>2</x:v>
      </x:c>
      <x:c r="C11" s="13" t="str">
        <x:v>a Python backend; b Go/Kubernetes; c controllers; d data platform.</x:v>
      </x:c>
    </x:row>
    <x:row r="12" ht="30" customHeight="1">
      <x:c r="A12" s="10" t="str">
        <x:v>India lane b</x:v>
      </x:c>
      <x:c r="B12" s="10" t="n">
        <x:f>COUNTIFS('JDs'!$V$2:$V$101,"b",'JDs'!$C$2:$C$101,"India")+COUNTIFS('LinkedIn'!$V$2:$V$101,"b",'LinkedIn'!$C$2:$C$101,"India")+COUNTIFS('Naukri'!$V$2:$V$101,"b",'Naukri'!$C$2:$C$101,"India")</x:f>
        <x:v>2</x:v>
      </x:c>
      <x:c r="C12" s="13" t="str">
        <x:v>a Python backend; b Go/Kubernetes; c controllers; d data platform.</x:v>
      </x:c>
    </x:row>
    <x:row r="13" ht="30" customHeight="1">
      <x:c r="A13" s="10" t="str">
        <x:v>India lane c</x:v>
      </x:c>
      <x:c r="B13" s="10" t="n">
        <x:f>COUNTIFS('JDs'!$V$2:$V$101,"c",'JDs'!$C$2:$C$101,"India")+COUNTIFS('LinkedIn'!$V$2:$V$101,"c",'LinkedIn'!$C$2:$C$101,"India")+COUNTIFS('Naukri'!$V$2:$V$101,"c",'Naukri'!$C$2:$C$101,"India")</x:f>
        <x:v>0</x:v>
      </x:c>
      <x:c r="C13" s="13" t="str">
        <x:v>a Python backend; b Go/Kubernetes; c controllers; d data platform.</x:v>
      </x:c>
    </x:row>
    <x:row r="14" ht="30" customHeight="1">
      <x:c r="A14" s="10" t="str">
        <x:v>India lane d</x:v>
      </x:c>
      <x:c r="B14" s="10" t="n">
        <x:f>COUNTIFS('JDs'!$V$2:$V$101,"d",'JDs'!$C$2:$C$101,"India")+COUNTIFS('LinkedIn'!$V$2:$V$101,"d",'LinkedIn'!$C$2:$C$101,"India")+COUNTIFS('Naukri'!$V$2:$V$101,"d",'Naukri'!$C$2:$C$101,"India")</x:f>
        <x:v>1</x:v>
      </x:c>
      <x:c r="C14" s="13" t="str">
        <x:v>a Python backend; b Go/Kubernetes; c controllers; d data platform.</x:v>
      </x:c>
    </x:row>
    <x:row r="15" ht="30" customHeight="1">
      <x:c r="A15" s="10" t="str">
        <x:v>Netherlands</x:v>
      </x:c>
      <x:c r="B15" s="10" t="n">
        <x:f>COUNTIFS('JDs'!$D$2:$D$101,"Netherlands")+COUNTIFS('LinkedIn'!$D$2:$D$101,"Netherlands")+COUNTIFS('Naukri'!$D$2:$D$101,"Netherlands")</x:f>
        <x:v>1</x:v>
      </x:c>
      <x:c r="C15" s="13" t="str">
        <x:v>Fewer than 3 accepted postings = thin evidence.</x:v>
      </x:c>
    </x:row>
    <x:row r="16" ht="30" customHeight="1">
      <x:c r="A16" s="10" t="str">
        <x:v>Ireland</x:v>
      </x:c>
      <x:c r="B16" s="10" t="n">
        <x:f>COUNTIFS('JDs'!$D$2:$D$101,"Ireland")+COUNTIFS('LinkedIn'!$D$2:$D$101,"Ireland")+COUNTIFS('Naukri'!$D$2:$D$101,"Ireland")</x:f>
        <x:v>1</x:v>
      </x:c>
      <x:c r="C16" s="13" t="str">
        <x:v>Fewer than 3 accepted postings = thin evidence.</x:v>
      </x:c>
    </x:row>
    <x:row r="17" ht="30" customHeight="1">
      <x:c r="A17" s="10" t="str">
        <x:v>Germany</x:v>
      </x:c>
      <x:c r="B17" s="10" t="n">
        <x:f>COUNTIFS('JDs'!$D$2:$D$101,"Germany")+COUNTIFS('LinkedIn'!$D$2:$D$101,"Germany")+COUNTIFS('Naukri'!$D$2:$D$101,"Germany")</x:f>
        <x:v>1</x:v>
      </x:c>
      <x:c r="C17" s="13" t="str">
        <x:v>Fewer than 3 accepted postings = thin evidence.</x:v>
      </x:c>
    </x:row>
    <x:row r="18" ht="30" customHeight="1">
      <x:c r="A18" s="10" t="str">
        <x:v>UAE</x:v>
      </x:c>
      <x:c r="B18" s="10" t="n">
        <x:f>COUNTIFS('JDs'!$D$2:$D$101,"UAE")+COUNTIFS('LinkedIn'!$D$2:$D$101,"UAE")+COUNTIFS('Naukri'!$D$2:$D$101,"UAE")</x:f>
        <x:v>0</x:v>
      </x:c>
      <x:c r="C18" s="13" t="str">
        <x:v>Fewer than 3 accepted postings = thin evidence.</x:v>
      </x:c>
    </x:row>
    <x:row r="19" ht="30" customHeight="1">
      <x:c r="A19" s="10" t="str">
        <x:v>Saudi Arabia</x:v>
      </x:c>
      <x:c r="B19" s="10" t="n">
        <x:f>COUNTIFS('JDs'!$D$2:$D$101,"Saudi Arabia")+COUNTIFS('LinkedIn'!$D$2:$D$101,"Saudi Arabia")+COUNTIFS('Naukri'!$D$2:$D$101,"Saudi Arabia")</x:f>
        <x:v>0</x:v>
      </x:c>
      <x:c r="C19" s="13" t="str">
        <x:v>Fewer than 3 accepted postings = thin evidence.</x:v>
      </x:c>
    </x:row>
    <x:row r="20" ht="30" customHeight="1">
      <x:c r="A20" s="10" t="str">
        <x:v>Go named</x:v>
      </x:c>
      <x:c r="B20" s="10" t="n">
        <x:f>COUNTIFS('JDs'!$R$2:$R$101,"*Go*")+COUNTIFS('LinkedIn'!$R$2:$R$101,"*Go*")+COUNTIFS('Naukri'!$R$2:$R$101,"*Go*")+COUNTIFS('JDs'!$S$2:$S$101,"*Go*")+COUNTIFS('LinkedIn'!$S$2:$S$101,"*Go*")+COUNTIFS('Naukri'!$S$2:$S$101,"*Go*")-(COUNTIFS('JDs'!$R$2:$R$101,"*Go*",'JDs'!$S$2:$S$101,"*Go*")+COUNTIFS('LinkedIn'!$R$2:$R$101,"*Go*",'LinkedIn'!$S$2:$S$101,"*Go*")+COUNTIFS('Naukri'!$R$2:$R$101,"*Go*",'Naukri'!$S$2:$S$101,"*Go*"))</x:f>
        <x:v>0</x:v>
      </x:c>
      <x:c r="C20" s="13" t="str">
        <x:v>Named in required or alternative/optional languages, counted once.</x:v>
      </x:c>
    </x:row>
    <x:row r="21" ht="30" customHeight="1">
      <x:c r="A21" s="10" t="str">
        <x:v>Python named</x:v>
      </x:c>
      <x:c r="B21" s="10" t="n">
        <x:f>COUNTIFS('JDs'!$R$2:$R$101,"*Python*")+COUNTIFS('LinkedIn'!$R$2:$R$101,"*Python*")+COUNTIFS('Naukri'!$R$2:$R$101,"*Python*")+COUNTIFS('JDs'!$S$2:$S$101,"*Python*")+COUNTIFS('LinkedIn'!$S$2:$S$101,"*Python*")+COUNTIFS('Naukri'!$S$2:$S$101,"*Python*")-(COUNTIFS('JDs'!$R$2:$R$101,"*Python*",'JDs'!$S$2:$S$101,"*Python*")+COUNTIFS('LinkedIn'!$R$2:$R$101,"*Python*",'LinkedIn'!$S$2:$S$101,"*Python*")+COUNTIFS('Naukri'!$R$2:$R$101,"*Python*",'Naukri'!$S$2:$S$101,"*Python*"))</x:f>
        <x:v>0</x:v>
      </x:c>
      <x:c r="C21" s="13" t="str">
        <x:v>Named in required or alternative/optional languages, counted once.</x:v>
      </x:c>
    </x:row>
    <x:row r="22" ht="30" customHeight="1">
      <x:c r="A22" s="10" t="str">
        <x:v>k8s_controllers required</x:v>
      </x:c>
      <x:c r="B22" s="10" t="n">
        <x:f>COUNTIFS('JDs'!$AM$2:$AM$101,"required")+COUNTIFS('LinkedIn'!$AM$2:$AM$101,"required")+COUNTIFS('Naukri'!$AM$2:$AM$101,"required")</x:f>
        <x:v>1</x:v>
      </x:c>
      <x:c r="C22" s="13" t="str">
        <x:v>Explicit requirement level from posting.</x:v>
      </x:c>
    </x:row>
    <x:row r="23" ht="30" customHeight="1">
      <x:c r="A23" s="10" t="str">
        <x:v>k8s_controllers preferred</x:v>
      </x:c>
      <x:c r="B23" s="10" t="n">
        <x:f>COUNTIFS('JDs'!$AM$2:$AM$101,"preferred")+COUNTIFS('LinkedIn'!$AM$2:$AM$101,"preferred")+COUNTIFS('Naukri'!$AM$2:$AM$101,"preferred")</x:f>
        <x:v>0</x:v>
      </x:c>
      <x:c r="C23" s="13" t="str">
        <x:v>Explicit requirement level from posting.</x:v>
      </x:c>
    </x:row>
    <x:row r="24" ht="30" customHeight="1">
      <x:c r="A24" s="10" t="str">
        <x:v>helm required</x:v>
      </x:c>
      <x:c r="B24" s="10" t="n">
        <x:f>COUNTIFS('JDs'!$AJ$2:$AJ$101,"required")+COUNTIFS('LinkedIn'!$AJ$2:$AJ$101,"required")+COUNTIFS('Naukri'!$AJ$2:$AJ$101,"required")</x:f>
        <x:v>0</x:v>
      </x:c>
      <x:c r="C24" s="13" t="str">
        <x:v>Explicit requirement level from posting.</x:v>
      </x:c>
    </x:row>
    <x:row r="25" ht="30" customHeight="1">
      <x:c r="A25" s="10" t="str">
        <x:v>helm preferred</x:v>
      </x:c>
      <x:c r="B25" s="10" t="n">
        <x:f>COUNTIFS('JDs'!$AJ$2:$AJ$101,"preferred")+COUNTIFS('LinkedIn'!$AJ$2:$AJ$101,"preferred")+COUNTIFS('Naukri'!$AJ$2:$AJ$101,"preferred")</x:f>
        <x:v>0</x:v>
      </x:c>
      <x:c r="C25" s="13" t="str">
        <x:v>Explicit requirement level from posting.</x:v>
      </x:c>
    </x:row>
    <x:row r="26" ht="30" customHeight="1">
      <x:c r="A26" s="10" t="str">
        <x:v>terraform required</x:v>
      </x:c>
      <x:c r="B26" s="10" t="n">
        <x:f>COUNTIFS('JDs'!$AL$2:$AL$101,"required")+COUNTIFS('LinkedIn'!$AL$2:$AL$101,"required")+COUNTIFS('Naukri'!$AL$2:$AL$101,"required")</x:f>
        <x:v>3</x:v>
      </x:c>
      <x:c r="C26" s="13" t="str">
        <x:v>Explicit requirement level from posting.</x:v>
      </x:c>
    </x:row>
    <x:row r="27" ht="30" customHeight="1">
      <x:c r="A27" s="10" t="str">
        <x:v>terraform preferred</x:v>
      </x:c>
      <x:c r="B27" s="10" t="n">
        <x:f>COUNTIFS('JDs'!$AL$2:$AL$101,"preferred")+COUNTIFS('LinkedIn'!$AL$2:$AL$101,"preferred")+COUNTIFS('Naukri'!$AL$2:$AL$101,"preferred")</x:f>
        <x:v>0</x:v>
      </x:c>
      <x:c r="C27" s="13" t="str">
        <x:v>Explicit requirement level from posting.</x:v>
      </x:c>
    </x:row>
    <x:row r="28" ht="30" customHeight="1">
      <x:c r="A28" s="10" t="str">
        <x:v>Public cloud named</x:v>
      </x:c>
      <x:c r="B28" s="10" t="n">
        <x:f>COUNTIFS('JDs'!$AK$2:$AK$101,"&lt;&gt;none",'JDs'!$AK$2:$AK$101,"&lt;&gt;unknown",'JDs'!$AK$2:$AK$101,"&lt;&gt;")+COUNTIFS('LinkedIn'!$AK$2:$AK$101,"&lt;&gt;none",'LinkedIn'!$AK$2:$AK$101,"&lt;&gt;unknown",'LinkedIn'!$AK$2:$AK$101,"&lt;&gt;")+COUNTIFS('Naukri'!$AK$2:$AK$101,"&lt;&gt;none",'Naukri'!$AK$2:$AK$101,"&lt;&gt;unknown",'Naukri'!$AK$2:$AK$101,"&lt;&gt;")</x:f>
        <x:v>5</x:v>
      </x:c>
      <x:c r="C28" s="13" t="str">
        <x:v>Required or preferred cloud statement.</x:v>
      </x:c>
    </x:row>
    <x:row r="29" ht="30" customHeight="1">
      <x:c r="A29" s="10" t="str">
        <x:v>AWS named</x:v>
      </x:c>
      <x:c r="B29" s="10" t="n">
        <x:f>COUNTIFS('JDs'!$AK$2:$AK$101,"*AWS*")+COUNTIFS('LinkedIn'!$AK$2:$AK$101,"*AWS*")+COUNTIFS('Naukri'!$AK$2:$AK$101,"*AWS*")</x:f>
        <x:v>0</x:v>
      </x:c>
      <x:c r="C29" s="13" t="str">
        <x:v>AWS is explicitly named, as one option or a requirement.</x:v>
      </x:c>
    </x:row>
    <x:row r="30" ht="30" customHeight="1">
      <x:c r="A30" s="10" t="str">
        <x:v>Production-history screen</x:v>
      </x:c>
      <x:c r="B30" s="10" t="n">
        <x:f>COUNTIFS('JDs'!$W$2:$W$101,"&lt;&gt;none",'JDs'!$W$2:$W$101,"&lt;&gt;unknown",'JDs'!$W$2:$W$101,"&lt;&gt;")+COUNTIFS('LinkedIn'!$W$2:$W$101,"&lt;&gt;none",'LinkedIn'!$W$2:$W$101,"&lt;&gt;unknown",'LinkedIn'!$W$2:$W$101,"&lt;&gt;")+COUNTIFS('Naukri'!$W$2:$W$101,"&lt;&gt;none",'Naukri'!$W$2:$W$101,"&lt;&gt;unknown",'Naukri'!$W$2:$W$101,"&lt;&gt;")</x:f>
        <x:v>7</x:v>
      </x:c>
      <x:c r="C30" s="13" t="str">
        <x:v>Explicit production years or ownership screen.</x:v>
      </x:c>
    </x:row>
    <x:row r="31" ht="30" customHeight="1">
      <x:c r="A31" s="10" t="str">
        <x:v>AI none</x:v>
      </x:c>
      <x:c r="B31" s="10" t="n">
        <x:f>COUNTIFS('JDs'!$AG$2:$AG$101,"none")+COUNTIFS('LinkedIn'!$AG$2:$AG$101,"none")+COUNTIFS('Naukri'!$AG$2:$AG$101,"none")</x:f>
        <x:v>6</x:v>
      </x:c>
      <x:c r="C31" s="13" t="str">
        <x:v>AI coding tools alone are not AI infrastructure duties.</x:v>
      </x:c>
    </x:row>
    <x:row r="32" ht="30" customHeight="1">
      <x:c r="A32" s="10" t="str">
        <x:v>AI app</x:v>
      </x:c>
      <x:c r="B32" s="10" t="n">
        <x:f>COUNTIFS('JDs'!$AG$2:$AG$101,"app")+COUNTIFS('LinkedIn'!$AG$2:$AG$101,"app")+COUNTIFS('Naukri'!$AG$2:$AG$101,"app")</x:f>
        <x:v>2</x:v>
      </x:c>
      <x:c r="C32" s="13" t="str">
        <x:v>AI coding tools alone are not AI infrastructure duties.</x:v>
      </x:c>
    </x:row>
    <x:row r="33" ht="30" customHeight="1">
      <x:c r="A33" s="10" t="str">
        <x:v>AI platform</x:v>
      </x:c>
      <x:c r="B33" s="10" t="n">
        <x:f>COUNTIFS('JDs'!$AG$2:$AG$101,"platform")+COUNTIFS('LinkedIn'!$AG$2:$AG$101,"platform")+COUNTIFS('Naukri'!$AG$2:$AG$101,"platform")</x:f>
        <x:v>0</x:v>
      </x:c>
      <x:c r="C33" s="13" t="str">
        <x:v>AI coding tools alone are not AI infrastructure duties.</x:v>
      </x:c>
    </x:row>
    <x:row r="34" ht="30" customHeight="1">
      <x:c r="A34" s="10" t="str">
        <x:v>AI engine</x:v>
      </x:c>
      <x:c r="B34" s="10" t="n">
        <x:f>COUNTIFS('JDs'!$AG$2:$AG$101,"engine")+COUNTIFS('LinkedIn'!$AG$2:$AG$101,"engine")+COUNTIFS('Naukri'!$AG$2:$AG$101,"engine")</x:f>
        <x:v>0</x:v>
      </x:c>
      <x:c r="C34" s="13" t="str">
        <x:v>AI coding tools alone are not AI infrastructure duties.</x:v>
      </x:c>
    </x:row>
    <x:row r="35" ht="30" customHeight="1">
      <x:c r="A35" s="10" t="str">
        <x:v>AI required</x:v>
      </x:c>
      <x:c r="B35" s="10" t="n">
        <x:f>COUNTIFS('JDs'!$AI$2:$AI$101,"required")+COUNTIFS('LinkedIn'!$AI$2:$AI$101,"required")+COUNTIFS('Naukri'!$AI$2:$AI$101,"required")</x:f>
        <x:v>1</x:v>
      </x:c>
      <x:c r="C35" s="13" t="str">
        <x:v>AI requirement among accepted postings.</x:v>
      </x:c>
    </x:row>
    <x:row r="36" ht="30" customHeight="1">
      <x:c r="A36" s="10" t="str">
        <x:v>AI preferred</x:v>
      </x:c>
      <x:c r="B36" s="10" t="n">
        <x:f>COUNTIFS('JDs'!$AI$2:$AI$101,"preferred")+COUNTIFS('LinkedIn'!$AI$2:$AI$101,"preferred")+COUNTIFS('Naukri'!$AI$2:$AI$101,"preferred")</x:f>
        <x:v>1</x:v>
      </x:c>
      <x:c r="C36" s="13" t="str">
        <x:v>AI requirement among accepted postings.</x:v>
      </x:c>
    </x:row>
    <x:row r="37" ht="30" customHeight="1">
      <x:c r="A37" s="10" t="str">
        <x:v>India fixed-pay gate</x:v>
      </x:c>
      <x:c r="B37" s="10" t="n">
        <x:v>0</x:v>
      </x:c>
      <x:c r="C37" s="13" t="str">
        <x:v>Only roles with page evidence supporting at least INR 42L fixed; unknown pay is not counted.</x:v>
      </x:c>
    </x:row>
    <x:row r="38" ht="30" customHeight="1">
      <x:c r="A38" s="10" t="str">
        <x:v>International eligible</x:v>
      </x:c>
      <x:c r="B38" s="10" t="n">
        <x:v>1</x:v>
      </x:c>
      <x:c r="C38" s="13" t="str">
        <x:v>Role fits, English work evidenced, India eligibility confirmed or plausible from explicit relocation text.</x:v>
      </x:c>
    </x:row>
    <x:row r="41" ht="42" customHeight="1">
      <x:c r="A41" s="14" t="str">
        <x:v>Access tested</x:v>
      </x:c>
      <x:c r="B41" s="14"/>
      <x:c r="C41" s="14" t="str">
        <x:v>LinkedIn public search: DisabledError. Naukri public jobs: restricted URL. No sign-in or bypass.</x:v>
      </x:c>
    </x:row>
    <x:row r="42" ht="42" customHeight="1">
      <x:c r="A42" s="14" t="str">
        <x:v>Cutoff</x:v>
      </x:c>
      <x:c r="B42" s="14"/>
      <x:c r="C42" s="14" t="str">
        <x:v>2026-07-27 inclusive. Search snippets and crawl/update timestamps are not posting-date evidence.</x:v>
      </x:c>
    </x:row>
    <x:row r="43" ht="42" customHeight="1">
      <x:c r="A43" s="14" t="str">
        <x:v>Method</x:v>
      </x:c>
      <x:c r="B43" s="14"/>
      <x:c r="C43" s="14" t="str">
        <x:v>Own career/ATS first; then readable boards; broader searches for no-match companies. No AI-infra search string.</x:v>
      </x:c>
    </x:row>
    <x:row r="44" ht="42" customHeight="1">
      <x:c r="A44" s="14" t="str">
        <x:v>Company list</x:v>
      </x:c>
      <x:c r="B44" s="14"/>
      <x:c r="C44" s="14" t="str">
        <x:v>Committed before search: feb08f47c005f4cafdb357f8ea0a4f1f59015b3a. No Claude-list employer accepted.</x:v>
      </x:c>
    </x:row>
    <x:row r="45" ht="42" customHeight="1">
      <x:c r="A45" s="14" t="str">
        <x:v>Recheck</x:v>
      </x:c>
      <x:c r="B45" s="14"/>
      <x:c r="C45" s="14" t="str">
        <x:v>Collection performed early as coach work. Re-check live postings in W6 before counts are used.</x:v>
      </x:c>
    </x:row>
    <x:row r="46" ht="42" customHeight="1">
      <x:c r="A46" s="14" t="str">
        <x:v>Scope</x:v>
      </x:c>
      <x:c r="B46" s="14"/>
      <x:c r="C46" s="14" t="str">
        <x:v>No plan edit, learner verdict, or lane decision. Zero or small samples do not establish absence of demand.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22" hidden="0" customWidth="1"/>
    <x:col min="4" max="4" width="22" hidden="0" customWidth="1"/>
    <x:col min="5" max="5" width="34" hidden="0" customWidth="1"/>
    <x:col min="6" max="6" width="22" hidden="0" customWidth="1"/>
    <x:col min="7" max="7" width="22" hidden="0" customWidth="1"/>
    <x:col min="8" max="8" width="22" hidden="0" customWidth="1"/>
    <x:col min="9" max="9" width="65" hidden="0" customWidth="1"/>
  </x:cols>
  <x:sheetData>
    <x:row r="1" ht="40" customHeight="1">
      <x:c r="A1" s="6" t="str">
        <x:v>no</x:v>
      </x:c>
      <x:c r="B1" s="6" t="str">
        <x:v>company</x:v>
      </x:c>
      <x:c r="C1" s="6" t="str">
        <x:v>region</x:v>
      </x:c>
      <x:c r="D1" s="6" t="str">
        <x:v>country</x:v>
      </x:c>
      <x:c r="E1" s="6" t="str">
        <x:v>target_locations</x:v>
      </x:c>
      <x:c r="F1" s="7" t="str">
        <x:v>searched_on</x:v>
      </x:c>
      <x:c r="G1" s="6" t="str">
        <x:v>postings_read</x:v>
      </x:c>
      <x:c r="H1" s="6" t="str">
        <x:v>accepted</x:v>
      </x:c>
      <x:c r="I1" s="6" t="str">
        <x:v>result_note</x:v>
      </x:c>
    </x:row>
    <x:row r="2" ht="24" hidden="0" customHeight="1">
      <x:c r="A2" s="3" t="str">
        <x:v>G001</x:v>
      </x:c>
      <x:c r="B2" s="3" t="str">
        <x:v>Confluent</x:v>
      </x:c>
      <x:c r="C2" s="3" t="str">
        <x:v>India</x:v>
      </x:c>
      <x:c r="D2" s="3" t="str">
        <x:v>India</x:v>
      </x:c>
      <x:c r="E2" s="3" t="str">
        <x:v>Bengaluru; Hyderabad; Pune; remote-India</x:v>
      </x:c>
      <x:c r="F2" s="8" t="d">
        <x:v>2026-10-27T00:00:00.000Z</x:v>
      </x:c>
      <x:c r="G2" s="3" t="n">
        <x:v>0</x:v>
      </x:c>
      <x:c r="H2" s="3" t="n">
        <x:v>0</x:v>
      </x:c>
      <x:c r="I2" s="3" t="str">
        <x:v>Employer/ATS attempted first; boards searched. No accepted dated posting yet; see Excluded. Search is bounded, not an exhaustive vacancy census.</x:v>
      </x:c>
    </x:row>
    <x:row r="3" ht="24" hidden="0" customHeight="1">
      <x:c r="A3" s="3" t="str">
        <x:v>G002</x:v>
      </x:c>
      <x:c r="B3" s="3" t="str">
        <x:v>Redis</x:v>
      </x:c>
      <x:c r="C3" s="3" t="str">
        <x:v>India</x:v>
      </x:c>
      <x:c r="D3" s="3" t="str">
        <x:v>India</x:v>
      </x:c>
      <x:c r="E3" s="3" t="str">
        <x:v>Bengaluru; Hyderabad; Pune; remote-India</x:v>
      </x:c>
      <x:c r="F3" s="8" t="d">
        <x:v>2026-10-27T00:00:00.000Z</x:v>
      </x:c>
      <x:c r="G3" s="3" t="n">
        <x:v>0</x:v>
      </x:c>
      <x:c r="H3" s="3" t="n">
        <x:v>0</x:v>
      </x:c>
      <x:c r="I3" s="3" t="str">
        <x:v>Employer/ATS attempted first; boards searched. No accepted dated posting yet; see Excluded. Search is bounded, not an exhaustive vacancy census.</x:v>
      </x:c>
    </x:row>
    <x:row r="4" ht="24" hidden="0" customHeight="1">
      <x:c r="A4" s="3" t="str">
        <x:v>G003</x:v>
      </x:c>
      <x:c r="B4" s="3" t="str">
        <x:v>Yugabyte</x:v>
      </x:c>
      <x:c r="C4" s="3" t="str">
        <x:v>India</x:v>
      </x:c>
      <x:c r="D4" s="3" t="str">
        <x:v>India</x:v>
      </x:c>
      <x:c r="E4" s="3" t="str">
        <x:v>Bengaluru; Hyderabad; Pune; remote-India</x:v>
      </x:c>
      <x:c r="F4" s="8" t="d">
        <x:v>2026-10-27T00:00:00.000Z</x:v>
      </x:c>
      <x:c r="G4" s="3" t="n">
        <x:v>2</x:v>
      </x:c>
      <x:c r="H4" s="3" t="n">
        <x:v>0</x:v>
      </x:c>
      <x:c r="I4" s="3" t="str">
        <x:v>Employer/ATS attempted first; boards searched. No accepted dated posting yet; see Excluded. Search is bounded, not an exhaustive vacancy census.</x:v>
      </x:c>
    </x:row>
    <x:row r="5" ht="24" hidden="0" customHeight="1">
      <x:c r="A5" s="3" t="str">
        <x:v>G004</x:v>
      </x:c>
      <x:c r="B5" s="3" t="str">
        <x:v>Cockroach Labs</x:v>
      </x:c>
      <x:c r="C5" s="3" t="str">
        <x:v>India</x:v>
      </x:c>
      <x:c r="D5" s="3" t="str">
        <x:v>India</x:v>
      </x:c>
      <x:c r="E5" s="3" t="str">
        <x:v>Bengaluru; Hyderabad; Pune; remote-India</x:v>
      </x:c>
      <x:c r="F5" s="8" t="d">
        <x:v>2026-10-27T00:00:00.000Z</x:v>
      </x:c>
      <x:c r="G5" s="3" t="n">
        <x:v>0</x:v>
      </x:c>
      <x:c r="H5" s="3" t="n">
        <x:v>0</x:v>
      </x:c>
      <x:c r="I5" s="3" t="str">
        <x:v>Employer/ATS attempted first; boards searched. No accepted dated posting yet; see Excluded. Search is bounded, not an exhaustive vacancy census.</x:v>
      </x:c>
    </x:row>
    <x:row r="6" ht="24" hidden="0" customHeight="1">
      <x:c r="A6" s="3" t="str">
        <x:v>G005</x:v>
      </x:c>
      <x:c r="B6" s="3" t="str">
        <x:v>SingleStore</x:v>
      </x:c>
      <x:c r="C6" s="3" t="str">
        <x:v>India</x:v>
      </x:c>
      <x:c r="D6" s="3" t="str">
        <x:v>India</x:v>
      </x:c>
      <x:c r="E6" s="3" t="str">
        <x:v>Bengaluru; Hyderabad; Pune; remote-India</x:v>
      </x:c>
      <x:c r="F6" s="8" t="d">
        <x:v>2026-10-27T00:00:00.000Z</x:v>
      </x:c>
      <x:c r="G6" s="3" t="n">
        <x:v>1</x:v>
      </x:c>
      <x:c r="H6" s="3" t="n">
        <x:v>0</x:v>
      </x:c>
      <x:c r="I6" s="3" t="str">
        <x:v>Employer/ATS attempted first; boards searched. No accepted dated posting yet; see Excluded. Search is bounded, not an exhaustive vacancy census.</x:v>
      </x:c>
    </x:row>
    <x:row r="7" ht="24" hidden="0" customHeight="1">
      <x:c r="A7" s="3" t="str">
        <x:v>G006</x:v>
      </x:c>
      <x:c r="B7" s="3" t="str">
        <x:v>ClickHouse</x:v>
      </x:c>
      <x:c r="C7" s="3" t="str">
        <x:v>India</x:v>
      </x:c>
      <x:c r="D7" s="3" t="str">
        <x:v>India</x:v>
      </x:c>
      <x:c r="E7" s="3" t="str">
        <x:v>Bengaluru; Hyderabad; Pune; remote-India</x:v>
      </x:c>
      <x:c r="F7" s="8" t="d">
        <x:v>2026-10-27T00:00:00.000Z</x:v>
      </x:c>
      <x:c r="G7" s="3" t="n">
        <x:v>0</x:v>
      </x:c>
      <x:c r="H7" s="3" t="n">
        <x:v>0</x:v>
      </x:c>
      <x:c r="I7" s="3" t="str">
        <x:v>Employer/ATS attempted first; boards searched. No accepted dated posting yet; see Excluded. Search is bounded, not an exhaustive vacancy census.</x:v>
      </x:c>
    </x:row>
    <x:row r="8" ht="24" hidden="0" customHeight="1">
      <x:c r="A8" s="3" t="str">
        <x:v>G007</x:v>
      </x:c>
      <x:c r="B8" s="3" t="str">
        <x:v>Starburst</x:v>
      </x:c>
      <x:c r="C8" s="3" t="str">
        <x:v>India</x:v>
      </x:c>
      <x:c r="D8" s="3" t="str">
        <x:v>India</x:v>
      </x:c>
      <x:c r="E8" s="3" t="str">
        <x:v>Bengaluru; Hyderabad; Pune; remote-India</x:v>
      </x:c>
      <x:c r="F8" s="8" t="d">
        <x:v>2026-10-27T00:00:00.000Z</x:v>
      </x:c>
      <x:c r="G8" s="3" t="n">
        <x:v>1</x:v>
      </x:c>
      <x:c r="H8" s="3" t="n">
        <x:v>0</x:v>
      </x:c>
      <x:c r="I8" s="3" t="str">
        <x:v>Employer/ATS attempted first; boards searched. No accepted dated posting yet; see Excluded. Search is bounded, not an exhaustive vacancy census.</x:v>
      </x:c>
    </x:row>
    <x:row r="9" ht="24" hidden="0" customHeight="1">
      <x:c r="A9" s="3" t="str">
        <x:v>G008</x:v>
      </x:c>
      <x:c r="B9" s="3" t="str">
        <x:v>StarTree</x:v>
      </x:c>
      <x:c r="C9" s="3" t="str">
        <x:v>India</x:v>
      </x:c>
      <x:c r="D9" s="3" t="str">
        <x:v>India</x:v>
      </x:c>
      <x:c r="E9" s="3" t="str">
        <x:v>Bengaluru; Hyderabad; Pune; remote-India</x:v>
      </x:c>
      <x:c r="F9" s="8" t="d">
        <x:v>2026-10-27T00:00:00.000Z</x:v>
      </x:c>
      <x:c r="G9" s="3" t="n">
        <x:v>2</x:v>
      </x:c>
      <x:c r="H9" s="3" t="n">
        <x:v>0</x:v>
      </x:c>
      <x:c r="I9" s="3" t="str">
        <x:v>Employer/ATS attempted first; boards searched. No accepted dated posting yet; see Excluded. Search is bounded, not an exhaustive vacancy census.</x:v>
      </x:c>
    </x:row>
    <x:row r="10" ht="24" hidden="0" customHeight="1">
      <x:c r="A10" s="3" t="str">
        <x:v>G009</x:v>
      </x:c>
      <x:c r="B10" s="3" t="str">
        <x:v>Aerospike</x:v>
      </x:c>
      <x:c r="C10" s="3" t="str">
        <x:v>India</x:v>
      </x:c>
      <x:c r="D10" s="3" t="str">
        <x:v>India</x:v>
      </x:c>
      <x:c r="E10" s="3" t="str">
        <x:v>Bengaluru; Hyderabad; Pune; remote-India</x:v>
      </x:c>
      <x:c r="F10" s="8" t="d">
        <x:v>2026-10-27T00:00:00.000Z</x:v>
      </x:c>
      <x:c r="G10" s="3" t="n">
        <x:v>2</x:v>
      </x:c>
      <x:c r="H10" s="3" t="n">
        <x:v>0</x:v>
      </x:c>
      <x:c r="I10" s="3" t="str">
        <x:v>Employer/ATS attempted first; boards searched. No accepted dated posting yet; see Excluded. Search is bounded, not an exhaustive vacancy census.</x:v>
      </x:c>
    </x:row>
    <x:row r="11" ht="24" hidden="0" customHeight="1">
      <x:c r="A11" s="3" t="str">
        <x:v>G010</x:v>
      </x:c>
      <x:c r="B11" s="3" t="str">
        <x:v>EDB</x:v>
      </x:c>
      <x:c r="C11" s="3" t="str">
        <x:v>India</x:v>
      </x:c>
      <x:c r="D11" s="3" t="str">
        <x:v>India</x:v>
      </x:c>
      <x:c r="E11" s="3" t="str">
        <x:v>Bengaluru; Hyderabad; Pune; remote-India</x:v>
      </x:c>
      <x:c r="F11" s="8" t="d">
        <x:v>2026-10-27T00:00:00.000Z</x:v>
      </x:c>
      <x:c r="G11" s="3" t="n">
        <x:v>0</x:v>
      </x:c>
      <x:c r="H11" s="3" t="n">
        <x:v>0</x:v>
      </x:c>
      <x:c r="I11" s="3" t="str">
        <x:v>Employer careers page plus board search reviewed; no verified recent India software-building posting found.</x:v>
      </x:c>
    </x:row>
    <x:row r="12" ht="24" hidden="0" customHeight="1">
      <x:c r="A12" s="3" t="str">
        <x:v>G011</x:v>
      </x:c>
      <x:c r="B12" s="3" t="str">
        <x:v>Percona</x:v>
      </x:c>
      <x:c r="C12" s="3" t="str">
        <x:v>India</x:v>
      </x:c>
      <x:c r="D12" s="3" t="str">
        <x:v>India</x:v>
      </x:c>
      <x:c r="E12" s="3" t="str">
        <x:v>Bengaluru; Hyderabad; Pune; remote-India</x:v>
      </x:c>
      <x:c r="F12" s="8" t="d">
        <x:v>2026-10-27T00:00:00.000Z</x:v>
      </x:c>
      <x:c r="G12" s="3" t="n">
        <x:v>0</x:v>
      </x:c>
      <x:c r="H12" s="3" t="n">
        <x:v>0</x:v>
      </x:c>
      <x:c r="I12" s="3" t="str">
        <x:v>Employer/ATS attempted first; boards searched. No accepted dated posting yet; see Excluded. Search is bounded, not an exhaustive vacancy census.</x:v>
      </x:c>
    </x:row>
    <x:row r="13" ht="24" hidden="0" customHeight="1">
      <x:c r="A13" s="3" t="str">
        <x:v>G012</x:v>
      </x:c>
      <x:c r="B13" s="3" t="str">
        <x:v>Aiven</x:v>
      </x:c>
      <x:c r="C13" s="3" t="str">
        <x:v>India</x:v>
      </x:c>
      <x:c r="D13" s="3" t="str">
        <x:v>India</x:v>
      </x:c>
      <x:c r="E13" s="3" t="str">
        <x:v>Bengaluru; Hyderabad; Pune; remote-India</x:v>
      </x:c>
      <x:c r="F13" s="8" t="d">
        <x:v>2026-10-27T00:00:00.000Z</x:v>
      </x:c>
      <x:c r="G13" s="3" t="n">
        <x:v>0</x:v>
      </x:c>
      <x:c r="H13" s="3" t="n">
        <x:v>0</x:v>
      </x:c>
      <x:c r="I13" s="3" t="str">
        <x:v>Employer live openings and boards reviewed; engineering locations found were outside target India slice.</x:v>
      </x:c>
    </x:row>
    <x:row r="14" ht="24" hidden="0" customHeight="1">
      <x:c r="A14" s="3" t="str">
        <x:v>G013</x:v>
      </x:c>
      <x:c r="B14" s="3" t="str">
        <x:v>Cloudflare</x:v>
      </x:c>
      <x:c r="C14" s="3" t="str">
        <x:v>India</x:v>
      </x:c>
      <x:c r="D14" s="3" t="str">
        <x:v>India</x:v>
      </x:c>
      <x:c r="E14" s="3" t="str">
        <x:v>Bengaluru; Hyderabad; Pune; remote-India</x:v>
      </x:c>
      <x:c r="F14" s="8" t="d">
        <x:v>2026-10-27T00:00:00.000Z</x:v>
      </x:c>
      <x:c r="G14" s="3" t="n">
        <x:v>1</x:v>
      </x:c>
      <x:c r="H14" s="3" t="n">
        <x:v>0</x:v>
      </x:c>
      <x:c r="I14" s="3" t="str">
        <x:v>Employer/ATS attempted first; boards searched. No accepted dated posting yet; see Excluded. Search is bounded, not an exhaustive vacancy census.</x:v>
      </x:c>
    </x:row>
    <x:row r="15" ht="24" hidden="0" customHeight="1">
      <x:c r="A15" s="3" t="str">
        <x:v>G014</x:v>
      </x:c>
      <x:c r="B15" s="3" t="str">
        <x:v>Datadog</x:v>
      </x:c>
      <x:c r="C15" s="3" t="str">
        <x:v>India</x:v>
      </x:c>
      <x:c r="D15" s="3" t="str">
        <x:v>India</x:v>
      </x:c>
      <x:c r="E15" s="3" t="str">
        <x:v>Bengaluru; Hyderabad; Pune; remote-India</x:v>
      </x:c>
      <x:c r="F15" s="8" t="d">
        <x:v>2026-10-27T00:00:00.000Z</x:v>
      </x:c>
      <x:c r="G15" s="3" t="n">
        <x:v>0</x:v>
      </x:c>
      <x:c r="H15" s="3" t="n">
        <x:v>0</x:v>
      </x:c>
      <x:c r="I15" s="3" t="str">
        <x:v>Employer engineering page and India board searches reviewed; no verified matching dated India posting found.</x:v>
      </x:c>
    </x:row>
    <x:row r="16" ht="24" hidden="0" customHeight="1">
      <x:c r="A16" s="3" t="str">
        <x:v>G015</x:v>
      </x:c>
      <x:c r="B16" s="3" t="str">
        <x:v>Sumo Logic</x:v>
      </x:c>
      <x:c r="C16" s="3" t="str">
        <x:v>India</x:v>
      </x:c>
      <x:c r="D16" s="3" t="str">
        <x:v>India</x:v>
      </x:c>
      <x:c r="E16" s="3" t="str">
        <x:v>Bengaluru; Hyderabad; Pune; remote-India</x:v>
      </x:c>
      <x:c r="F16" s="8" t="d">
        <x:v>2026-10-27T00:00:00.000Z</x:v>
      </x:c>
      <x:c r="G16" s="3" t="n">
        <x:v>0</x:v>
      </x:c>
      <x:c r="H16" s="3" t="n">
        <x:v>0</x:v>
      </x:c>
      <x:c r="I16" s="3" t="str">
        <x:v>Employer job index shows account engineer/manager postings; no qualifying senior software posting found.</x:v>
      </x:c>
    </x:row>
    <x:row r="17" ht="24" hidden="0" customHeight="1">
      <x:c r="A17" s="3" t="str">
        <x:v>G016</x:v>
      </x:c>
      <x:c r="B17" s="3" t="str">
        <x:v>Grafana Labs</x:v>
      </x:c>
      <x:c r="C17" s="3" t="str">
        <x:v>India</x:v>
      </x:c>
      <x:c r="D17" s="3" t="str">
        <x:v>India</x:v>
      </x:c>
      <x:c r="E17" s="3" t="str">
        <x:v>Bengaluru; Hyderabad; Pune; remote-India</x:v>
      </x:c>
      <x:c r="F17" s="8" t="d">
        <x:v>2026-10-27T00:00:00.000Z</x:v>
      </x:c>
      <x:c r="G17" s="3" t="n">
        <x:v>0</x:v>
      </x:c>
      <x:c r="H17" s="3" t="n">
        <x:v>0</x:v>
      </x:c>
      <x:c r="I17" s="3" t="str">
        <x:v>Employer current list and board search reviewed; India lead found was solutions engineering, not software building.</x:v>
      </x:c>
    </x:row>
    <x:row r="18" ht="24" hidden="0" customHeight="1">
      <x:c r="A18" s="3" t="str">
        <x:v>G017</x:v>
      </x:c>
      <x:c r="B18" s="3" t="str">
        <x:v>New Relic</x:v>
      </x:c>
      <x:c r="C18" s="3" t="str">
        <x:v>India</x:v>
      </x:c>
      <x:c r="D18" s="3" t="str">
        <x:v>India</x:v>
      </x:c>
      <x:c r="E18" s="3" t="str">
        <x:v>Bengaluru; Hyderabad; Pune; remote-India</x:v>
      </x:c>
      <x:c r="F18" s="8" t="d">
        <x:v>2026-10-27T00:00:00.000Z</x:v>
      </x:c>
      <x:c r="G18" s="3" t="n">
        <x:v>2</x:v>
      </x:c>
      <x:c r="H18" s="3" t="n">
        <x:v>0</x:v>
      </x:c>
      <x:c r="I18" s="3" t="str">
        <x:v>Employer/ATS attempted first; boards searched. No accepted dated posting yet; see Excluded. Search is bounded, not an exhaustive vacancy census.</x:v>
      </x:c>
    </x:row>
    <x:row r="19" ht="24" hidden="0" customHeight="1">
      <x:c r="A19" s="3" t="str">
        <x:v>G018</x:v>
      </x:c>
      <x:c r="B19" s="3" t="str">
        <x:v>Dynatrace</x:v>
      </x:c>
      <x:c r="C19" s="3" t="str">
        <x:v>India</x:v>
      </x:c>
      <x:c r="D19" s="3" t="str">
        <x:v>India</x:v>
      </x:c>
      <x:c r="E19" s="3" t="str">
        <x:v>Bengaluru; Hyderabad; Pune; remote-India</x:v>
      </x:c>
      <x:c r="F19" s="8" t="d">
        <x:v>2026-10-27T00:00:00.000Z</x:v>
      </x:c>
      <x:c r="G19" s="3" t="n">
        <x:v>1</x:v>
      </x:c>
      <x:c r="H19" s="3" t="n">
        <x:v>0</x:v>
      </x:c>
      <x:c r="I19" s="3" t="str">
        <x:v>Employer/ATS attempted first; boards searched. No accepted dated posting yet; see Excluded. Search is bounded, not an exhaustive vacancy census.</x:v>
      </x:c>
    </x:row>
    <x:row r="20" ht="24" hidden="0" customHeight="1">
      <x:c r="A20" s="3" t="str">
        <x:v>G019</x:v>
      </x:c>
      <x:c r="B20" s="3" t="str">
        <x:v>Sentry</x:v>
      </x:c>
      <x:c r="C20" s="3" t="str">
        <x:v>India</x:v>
      </x:c>
      <x:c r="D20" s="3" t="str">
        <x:v>India</x:v>
      </x:c>
      <x:c r="E20" s="3" t="str">
        <x:v>Bengaluru; Hyderabad; Pune; remote-India</x:v>
      </x:c>
      <x:c r="F20" s="8" t="d">
        <x:v>2026-10-27T00:00:00.000Z</x:v>
      </x:c>
      <x:c r="G20" s="3" t="n">
        <x:v>1</x:v>
      </x:c>
      <x:c r="H20" s="3" t="n">
        <x:v>0</x:v>
      </x:c>
      <x:c r="I20" s="3" t="str">
        <x:v>Employer/ATS attempted first; boards searched. No accepted dated posting yet; see Excluded. Search is bounded, not an exhaustive vacancy census.</x:v>
      </x:c>
    </x:row>
    <x:row r="21" ht="24" hidden="0" customHeight="1">
      <x:c r="A21" s="3" t="str">
        <x:v>G020</x:v>
      </x:c>
      <x:c r="B21" s="3" t="str">
        <x:v>Cribl</x:v>
      </x:c>
      <x:c r="C21" s="3" t="str">
        <x:v>India</x:v>
      </x:c>
      <x:c r="D21" s="3" t="str">
        <x:v>India</x:v>
      </x:c>
      <x:c r="E21" s="3" t="str">
        <x:v>Bengaluru; Hyderabad; Pune; remote-India</x:v>
      </x:c>
      <x:c r="F21" s="8" t="d">
        <x:v>2026-10-27T00:00:00.000Z</x:v>
      </x:c>
      <x:c r="G21" s="3" t="n">
        <x:v>0</x:v>
      </x:c>
      <x:c r="H21" s="3" t="n">
        <x:v>0</x:v>
      </x:c>
      <x:c r="I21" s="3" t="str">
        <x:v>Employer/ATS attempted first; boards searched. No accepted dated posting yet; see Excluded. Search is bounded, not an exhaustive vacancy census.</x:v>
      </x:c>
    </x:row>
    <x:row r="22" ht="24" hidden="0" customHeight="1">
      <x:c r="A22" s="3" t="str">
        <x:v>G021</x:v>
      </x:c>
      <x:c r="B22" s="3" t="str">
        <x:v>Coralogix</x:v>
      </x:c>
      <x:c r="C22" s="3" t="str">
        <x:v>India</x:v>
      </x:c>
      <x:c r="D22" s="3" t="str">
        <x:v>India</x:v>
      </x:c>
      <x:c r="E22" s="3" t="str">
        <x:v>Bengaluru; Hyderabad; Pune; remote-India</x:v>
      </x:c>
      <x:c r="F22" s="8" t="d">
        <x:v>2026-10-27T00:00:00.000Z</x:v>
      </x:c>
      <x:c r="G22" s="3" t="n">
        <x:v>0</x:v>
      </x:c>
      <x:c r="H22" s="3" t="n">
        <x:v>0</x:v>
      </x:c>
      <x:c r="I22" s="3" t="str">
        <x:v>Employer careers index and board search reviewed; backend openings found in Israel/Europe, no verified India match.</x:v>
      </x:c>
    </x:row>
    <x:row r="23" ht="24" hidden="0" customHeight="1">
      <x:c r="A23" s="3" t="str">
        <x:v>G022</x:v>
      </x:c>
      <x:c r="B23" s="3" t="str">
        <x:v>LogicMonitor</x:v>
      </x:c>
      <x:c r="C23" s="3" t="str">
        <x:v>India</x:v>
      </x:c>
      <x:c r="D23" s="3" t="str">
        <x:v>India</x:v>
      </x:c>
      <x:c r="E23" s="3" t="str">
        <x:v>Bengaluru; Hyderabad; Pune; remote-India</x:v>
      </x:c>
      <x:c r="F23" s="8" t="d">
        <x:v>2026-10-27T00:00:00.000Z</x:v>
      </x:c>
      <x:c r="G23" s="3" t="n">
        <x:v>1</x:v>
      </x:c>
      <x:c r="H23" s="3" t="n">
        <x:v>0</x:v>
      </x:c>
      <x:c r="I23" s="3" t="str">
        <x:v>Employer/ATS attempted first; boards searched. No accepted dated posting yet; see Excluded. Search is bounded, not an exhaustive vacancy census.</x:v>
      </x:c>
    </x:row>
    <x:row r="24" ht="24" hidden="0" customHeight="1">
      <x:c r="A24" s="3" t="str">
        <x:v>G023</x:v>
      </x:c>
      <x:c r="B24" s="3" t="str">
        <x:v>Last9</x:v>
      </x:c>
      <x:c r="C24" s="3" t="str">
        <x:v>India</x:v>
      </x:c>
      <x:c r="D24" s="3" t="str">
        <x:v>India</x:v>
      </x:c>
      <x:c r="E24" s="3" t="str">
        <x:v>Bengaluru; Hyderabad; Pune; remote-India</x:v>
      </x:c>
      <x:c r="F24" s="8" t="d">
        <x:v>2026-10-27T00:00:00.000Z</x:v>
      </x:c>
      <x:c r="G24" s="3" t="n">
        <x:v>1</x:v>
      </x:c>
      <x:c r="H24" s="3" t="n">
        <x:v>0</x:v>
      </x:c>
      <x:c r="I24" s="3" t="str">
        <x:v>Employer/ATS attempted first; boards searched. No accepted dated posting yet; see Excluded. Search is bounded, not an exhaustive vacancy census.</x:v>
      </x:c>
    </x:row>
    <x:row r="25" ht="24" hidden="0" customHeight="1">
      <x:c r="A25" s="3" t="str">
        <x:v>G024</x:v>
      </x:c>
      <x:c r="B25" s="3" t="str">
        <x:v>SigNoz</x:v>
      </x:c>
      <x:c r="C25" s="3" t="str">
        <x:v>India</x:v>
      </x:c>
      <x:c r="D25" s="3" t="str">
        <x:v>India</x:v>
      </x:c>
      <x:c r="E25" s="3" t="str">
        <x:v>Bengaluru; Hyderabad; Pune; remote-India</x:v>
      </x:c>
      <x:c r="F25" s="8" t="d">
        <x:v>2026-10-27T00:00:00.000Z</x:v>
      </x:c>
      <x:c r="G25" s="3" t="n">
        <x:v>0</x:v>
      </x:c>
      <x:c r="H25" s="3" t="n">
        <x:v>0</x:v>
      </x:c>
      <x:c r="I25" s="3" t="str">
        <x:v>Employer/ATS attempted first; boards searched. No accepted dated posting yet; see Excluded. Search is bounded, not an exhaustive vacancy census.</x:v>
      </x:c>
    </x:row>
    <x:row r="26" ht="24" hidden="0" customHeight="1">
      <x:c r="A26" s="3" t="str">
        <x:v>G025</x:v>
      </x:c>
      <x:c r="B26" s="3" t="str">
        <x:v>GitLab</x:v>
      </x:c>
      <x:c r="C26" s="3" t="str">
        <x:v>India</x:v>
      </x:c>
      <x:c r="D26" s="3" t="str">
        <x:v>India</x:v>
      </x:c>
      <x:c r="E26" s="3" t="str">
        <x:v>Bengaluru; Hyderabad; Pune; remote-India</x:v>
      </x:c>
      <x:c r="F26" s="8" t="d">
        <x:v>2026-10-27T00:00:00.000Z</x:v>
      </x:c>
      <x:c r="G26" s="3" t="n">
        <x:v>0</x:v>
      </x:c>
      <x:c r="H26" s="3" t="n">
        <x:v>0</x:v>
      </x:c>
      <x:c r="I26" s="3" t="str">
        <x:v>Employer/ATS attempted first; boards searched. No accepted dated posting yet; see Excluded. Search is bounded, not an exhaustive vacancy census.</x:v>
      </x:c>
    </x:row>
    <x:row r="27" ht="24" hidden="0" customHeight="1">
      <x:c r="A27" s="3" t="str">
        <x:v>G026</x:v>
      </x:c>
      <x:c r="B27" s="3" t="str">
        <x:v>BrowserStack</x:v>
      </x:c>
      <x:c r="C27" s="3" t="str">
        <x:v>India</x:v>
      </x:c>
      <x:c r="D27" s="3" t="str">
        <x:v>India</x:v>
      </x:c>
      <x:c r="E27" s="3" t="str">
        <x:v>Bengaluru; Hyderabad; Pune; remote-India</x:v>
      </x:c>
      <x:c r="F27" s="8" t="d">
        <x:v>2026-10-27T00:00:00.000Z</x:v>
      </x:c>
      <x:c r="G27" s="3" t="n">
        <x:v>1</x:v>
      </x:c>
      <x:c r="H27" s="3" t="n">
        <x:v>0</x:v>
      </x:c>
      <x:c r="I27" s="3" t="str">
        <x:v>0 accepted; 1 excluded candidate(s). Employer/ATS attempted first; board and wider company search checked. Location is Mumbai; no target-city or remote-India option stated.</x:v>
      </x:c>
    </x:row>
    <x:row r="28" ht="24" hidden="0" customHeight="1">
      <x:c r="A28" s="3" t="str">
        <x:v>G027</x:v>
      </x:c>
      <x:c r="B28" s="3" t="str">
        <x:v>LambdaTest</x:v>
      </x:c>
      <x:c r="C28" s="3" t="str">
        <x:v>India</x:v>
      </x:c>
      <x:c r="D28" s="3" t="str">
        <x:v>India</x:v>
      </x:c>
      <x:c r="E28" s="3" t="str">
        <x:v>Bengaluru; Hyderabad; Pune; remote-India</x:v>
      </x:c>
      <x:c r="F28" s="8" t="d">
        <x:v>2026-10-27T00:00:00.000Z</x:v>
      </x:c>
      <x:c r="G28" s="3" t="n">
        <x:v>0</x:v>
      </x:c>
      <x:c r="H28" s="3" t="n">
        <x:v>0</x:v>
      </x:c>
      <x:c r="I28" s="3" t="str">
        <x:v>0 accepted; 1 excluded candidate(s). Employer/ATS attempted first; board and wider company search checked. Closed or removed: employer says posting unavailable.</x:v>
      </x:c>
    </x:row>
    <x:row r="29" ht="24" hidden="0" customHeight="1">
      <x:c r="A29" s="3" t="str">
        <x:v>G028</x:v>
      </x:c>
      <x:c r="B29" s="3" t="str">
        <x:v>Sauce Labs</x:v>
      </x:c>
      <x:c r="C29" s="3" t="str">
        <x:v>India</x:v>
      </x:c>
      <x:c r="D29" s="3" t="str">
        <x:v>India</x:v>
      </x:c>
      <x:c r="E29" s="3" t="str">
        <x:v>Bengaluru; Hyderabad; Pune; remote-India</x:v>
      </x:c>
      <x:c r="F29" s="8" t="d">
        <x:v>2026-10-27T00:00:00.000Z</x:v>
      </x:c>
      <x:c r="G29" s="3" t="n">
        <x:v>1</x:v>
      </x:c>
      <x:c r="H29" s="3" t="n">
        <x:v>0</x:v>
      </x:c>
      <x:c r="I29" s="3" t="str">
        <x:v>0 accepted; 1 excluded candidate(s). Employer/ATS attempted first; board and wider company search checked. Gurgaon hybrid role; outside requested India locations.</x:v>
      </x:c>
    </x:row>
    <x:row r="30" ht="24" hidden="0" customHeight="1">
      <x:c r="A30" s="3" t="str">
        <x:v>G029</x:v>
      </x:c>
      <x:c r="B30" s="3" t="str">
        <x:v>Kong</x:v>
      </x:c>
      <x:c r="C30" s="3" t="str">
        <x:v>India</x:v>
      </x:c>
      <x:c r="D30" s="3" t="str">
        <x:v>India</x:v>
      </x:c>
      <x:c r="E30" s="3" t="str">
        <x:v>Bengaluru; Hyderabad; Pune; remote-India</x:v>
      </x:c>
      <x:c r="F30" s="8" t="d">
        <x:v>2026-10-27T00:00:00.000Z</x:v>
      </x:c>
      <x:c r="G30" s="3" t="n">
        <x:v>1</x:v>
      </x:c>
      <x:c r="H30" s="3" t="n">
        <x:v>1</x:v>
      </x:c>
      <x:c r="I30" s="3" t="str">
        <x:v>1 accepted; 0 excluded candidate(s). Employer/ATS attempted first; board and wider company search checked. </x:v>
      </x:c>
    </x:row>
    <x:row r="31" ht="24" hidden="0" customHeight="1">
      <x:c r="A31" s="3" t="str">
        <x:v>G030</x:v>
      </x:c>
      <x:c r="B31" s="3" t="str">
        <x:v>Tyk</x:v>
      </x:c>
      <x:c r="C31" s="3" t="str">
        <x:v>India</x:v>
      </x:c>
      <x:c r="D31" s="3" t="str">
        <x:v>India</x:v>
      </x:c>
      <x:c r="E31" s="3" t="str">
        <x:v>Bengaluru; Hyderabad; Pune; remote-India</x:v>
      </x:c>
      <x:c r="F31" s="8" t="d">
        <x:v>2026-10-27T00:00:00.000Z</x:v>
      </x:c>
      <x:c r="G31" s="3" t="n">
        <x:v>0</x:v>
      </x:c>
      <x:c r="H31" s="3" t="n">
        <x:v>0</x:v>
      </x:c>
      <x:c r="I31" s="3" t="str">
        <x:v>Official current-vacancies page and wider search checked; no qualifying software-building role verified. https://tyk.io/tyk-current-vacancies/</x:v>
      </x:c>
    </x:row>
    <x:row r="32" ht="24" hidden="0" customHeight="1">
      <x:c r="A32" s="3" t="str">
        <x:v>G031</x:v>
      </x:c>
      <x:c r="B32" s="3" t="str">
        <x:v>Gravitee</x:v>
      </x:c>
      <x:c r="C32" s="3" t="str">
        <x:v>India</x:v>
      </x:c>
      <x:c r="D32" s="3" t="str">
        <x:v>India</x:v>
      </x:c>
      <x:c r="E32" s="3" t="str">
        <x:v>Bengaluru; Hyderabad; Pune; remote-India</x:v>
      </x:c>
      <x:c r="F32" s="8" t="d">
        <x:v>2026-10-27T00:00:00.000Z</x:v>
      </x:c>
      <x:c r="G32" s="3" t="n">
        <x:v>1</x:v>
      </x:c>
      <x:c r="H32" s="3" t="n">
        <x:v>0</x:v>
      </x:c>
      <x:c r="I32" s="3" t="str">
        <x:v>0 accepted; 1 excluded candidate(s). Employer/ATS attempted first; board and wider company search checked. National Capital Region hybrid role; outside requested India locations.</x:v>
      </x:c>
    </x:row>
    <x:row r="33" ht="24" hidden="0" customHeight="1">
      <x:c r="A33" s="3" t="str">
        <x:v>G032</x:v>
      </x:c>
      <x:c r="B33" s="3" t="str">
        <x:v>Solo.io</x:v>
      </x:c>
      <x:c r="C33" s="3" t="str">
        <x:v>India</x:v>
      </x:c>
      <x:c r="D33" s="3" t="str">
        <x:v>India</x:v>
      </x:c>
      <x:c r="E33" s="3" t="str">
        <x:v>Bengaluru; Hyderabad; Pune; remote-India</x:v>
      </x:c>
      <x:c r="F33" s="8" t="d">
        <x:v>2026-10-27T00:00:00.000Z</x:v>
      </x:c>
      <x:c r="G33" s="3" t="n">
        <x:v>0</x:v>
      </x:c>
      <x:c r="H33" s="3" t="n">
        <x:v>0</x:v>
      </x:c>
      <x:c r="I33" s="3" t="str">
        <x:v>Official ATS index and broader search checked; no qualifying India posting verified. https://job-boards.greenhouse.io/soloioinc</x:v>
      </x:c>
    </x:row>
    <x:row r="34" ht="24" hidden="0" customHeight="1">
      <x:c r="A34" s="3" t="str">
        <x:v>G033</x:v>
      </x:c>
      <x:c r="B34" s="3" t="str">
        <x:v>Teleport</x:v>
      </x:c>
      <x:c r="C34" s="3" t="str">
        <x:v>India</x:v>
      </x:c>
      <x:c r="D34" s="3" t="str">
        <x:v>India</x:v>
      </x:c>
      <x:c r="E34" s="3" t="str">
        <x:v>Bengaluru; Hyderabad; Pune; remote-India</x:v>
      </x:c>
      <x:c r="F34" s="8" t="d">
        <x:v>2026-10-27T00:00:00.000Z</x:v>
      </x:c>
      <x:c r="G34" s="3" t="n">
        <x:v>0</x:v>
      </x:c>
      <x:c r="H34" s="3" t="n">
        <x:v>0</x:v>
      </x:c>
      <x:c r="I34" s="3" t="str">
        <x:v>Official careers and broader search checked; no qualifying dated target-location posting verified. https://goteleport.com/careers/</x:v>
      </x:c>
    </x:row>
    <x:row r="35" ht="24" hidden="0" customHeight="1">
      <x:c r="A35" s="3" t="str">
        <x:v>G034</x:v>
      </x:c>
      <x:c r="B35" s="3" t="str">
        <x:v>Canonical</x:v>
      </x:c>
      <x:c r="C35" s="3" t="str">
        <x:v>India</x:v>
      </x:c>
      <x:c r="D35" s="3" t="str">
        <x:v>India</x:v>
      </x:c>
      <x:c r="E35" s="3" t="str">
        <x:v>Bengaluru; Hyderabad; Pune; remote-India</x:v>
      </x:c>
      <x:c r="F35" s="8" t="d">
        <x:v>2026-10-27T00:00:00.000Z</x:v>
      </x:c>
      <x:c r="G35" s="3" t="n">
        <x:v>1</x:v>
      </x:c>
      <x:c r="H35" s="3" t="n">
        <x:v>0</x:v>
      </x:c>
      <x:c r="I35" s="3" t="str">
        <x:v>0 accepted; 1 excluded candidate(s). Employer/ATS attempted first; board and wider company search checked. No verifiable posting date; July 27 cutoff cannot be established.</x:v>
      </x:c>
    </x:row>
    <x:row r="36" ht="24" hidden="0" customHeight="1">
      <x:c r="A36" s="3" t="str">
        <x:v>G035</x:v>
      </x:c>
      <x:c r="B36" s="3" t="str">
        <x:v>Mirantis</x:v>
      </x:c>
      <x:c r="C36" s="3" t="str">
        <x:v>India</x:v>
      </x:c>
      <x:c r="D36" s="3" t="str">
        <x:v>India</x:v>
      </x:c>
      <x:c r="E36" s="3" t="str">
        <x:v>Bengaluru; Hyderabad; Pune; remote-India</x:v>
      </x:c>
      <x:c r="F36" s="8" t="d">
        <x:v>2026-10-27T00:00:00.000Z</x:v>
      </x:c>
      <x:c r="G36" s="3" t="n">
        <x:v>1</x:v>
      </x:c>
      <x:c r="H36" s="3" t="n">
        <x:v>0</x:v>
      </x:c>
      <x:c r="I36" s="3" t="str">
        <x:v>0 accepted; 1 excluded candidate(s). Employer/ATS attempted first; board and wider company search checked. Level is not stated as Senior, Staff, Lead, Principal or MTS.</x:v>
      </x:c>
    </x:row>
    <x:row r="37" ht="24" hidden="0" customHeight="1">
      <x:c r="A37" s="3" t="str">
        <x:v>G036</x:v>
      </x:c>
      <x:c r="B37" s="3" t="str">
        <x:v>SUSE</x:v>
      </x:c>
      <x:c r="C37" s="3" t="str">
        <x:v>India</x:v>
      </x:c>
      <x:c r="D37" s="3" t="str">
        <x:v>India</x:v>
      </x:c>
      <x:c r="E37" s="3" t="str">
        <x:v>Bengaluru; Hyderabad; Pune; remote-India</x:v>
      </x:c>
      <x:c r="F37" s="8" t="d">
        <x:v>2026-10-27T00:00:00.000Z</x:v>
      </x:c>
      <x:c r="G37" s="3" t="n">
        <x:v>0</x:v>
      </x:c>
      <x:c r="H37" s="3" t="n">
        <x:v>0</x:v>
      </x:c>
      <x:c r="I37" s="3" t="str">
        <x:v>Official careers and broader search checked; no qualifying readable dated India posting verified. https://www.suse.com/careers/</x:v>
      </x:c>
    </x:row>
    <x:row r="38" ht="24" hidden="0" customHeight="1">
      <x:c r="A38" s="3" t="str">
        <x:v>G037</x:v>
      </x:c>
      <x:c r="B38" s="3" t="str">
        <x:v>Sysdig</x:v>
      </x:c>
      <x:c r="C38" s="3" t="str">
        <x:v>India</x:v>
      </x:c>
      <x:c r="D38" s="3" t="str">
        <x:v>India</x:v>
      </x:c>
      <x:c r="E38" s="3" t="str">
        <x:v>Bengaluru; Hyderabad; Pune; remote-India</x:v>
      </x:c>
      <x:c r="F38" s="8" t="d">
        <x:v>2026-10-27T00:00:00.000Z</x:v>
      </x:c>
      <x:c r="G38" s="3" t="n">
        <x:v>1</x:v>
      </x:c>
      <x:c r="H38" s="3" t="n">
        <x:v>0</x:v>
      </x:c>
      <x:c r="I38" s="3" t="str">
        <x:v>0 accepted; 1 excluded candidate(s). Employer/ATS attempted first; board and wider company search checked. Location is Serbia; outside requested countries.</x:v>
      </x:c>
    </x:row>
    <x:row r="39" ht="24" hidden="0" customHeight="1">
      <x:c r="A39" s="3" t="str">
        <x:v>G038</x:v>
      </x:c>
      <x:c r="B39" s="3" t="str">
        <x:v>Aqua Security</x:v>
      </x:c>
      <x:c r="C39" s="3" t="str">
        <x:v>India</x:v>
      </x:c>
      <x:c r="D39" s="3" t="str">
        <x:v>India</x:v>
      </x:c>
      <x:c r="E39" s="3" t="str">
        <x:v>Bengaluru; Hyderabad; Pune; remote-India</x:v>
      </x:c>
      <x:c r="F39" s="8" t="d">
        <x:v>2026-10-27T00:00:00.000Z</x:v>
      </x:c>
      <x:c r="G39" s="3" t="n">
        <x:v>2</x:v>
      </x:c>
      <x:c r="H39" s="3" t="n">
        <x:v>0</x:v>
      </x:c>
      <x:c r="I39" s="3" t="str">
        <x:v>0 accepted; 2 excluded candidate(s). Employer/ATS attempted first; board and wider company search checked. No verifiable posting date; July 27 cutoff cannot be established.</x:v>
      </x:c>
    </x:row>
    <x:row r="40" ht="24" hidden="0" customHeight="1">
      <x:c r="A40" s="3" t="str">
        <x:v>G039</x:v>
      </x:c>
      <x:c r="B40" s="3" t="str">
        <x:v>Check Point</x:v>
      </x:c>
      <x:c r="C40" s="3" t="str">
        <x:v>India</x:v>
      </x:c>
      <x:c r="D40" s="3" t="str">
        <x:v>India</x:v>
      </x:c>
      <x:c r="E40" s="3" t="str">
        <x:v>Bengaluru; Hyderabad; Pune; remote-India</x:v>
      </x:c>
      <x:c r="F40" s="8" t="d">
        <x:v>2026-10-27T00:00:00.000Z</x:v>
      </x:c>
      <x:c r="G40" s="3" t="n">
        <x:v>1</x:v>
      </x:c>
      <x:c r="H40" s="3" t="n">
        <x:v>0</x:v>
      </x:c>
      <x:c r="I40" s="3" t="str">
        <x:v>0 accepted; 1 excluded candidate(s). Employer/ATS attempted first; board and wider company search checked. Location is Tel Aviv; outside requested countries.</x:v>
      </x:c>
    </x:row>
    <x:row r="41" ht="24" hidden="0" customHeight="1">
      <x:c r="A41" s="3" t="str">
        <x:v>G040</x:v>
      </x:c>
      <x:c r="B41" s="3" t="str">
        <x:v>SentinelOne</x:v>
      </x:c>
      <x:c r="C41" s="3" t="str">
        <x:v>India</x:v>
      </x:c>
      <x:c r="D41" s="3" t="str">
        <x:v>India</x:v>
      </x:c>
      <x:c r="E41" s="3" t="str">
        <x:v>Bengaluru; Hyderabad; Pune; remote-India</x:v>
      </x:c>
      <x:c r="F41" s="8" t="d">
        <x:v>2026-10-27T00:00:00.000Z</x:v>
      </x:c>
      <x:c r="G41" s="3" t="n">
        <x:v>0</x:v>
      </x:c>
      <x:c r="H41" s="3" t="n">
        <x:v>0</x:v>
      </x:c>
      <x:c r="I41" s="3" t="str">
        <x:v>0 accepted; 1 excluded candidate(s). Employer/ATS attempted first; board and wider company search checked. Board explicitly says the job is no longer accepting applications.</x:v>
      </x:c>
    </x:row>
    <x:row r="42" ht="24" hidden="0" customHeight="1">
      <x:c r="A42" s="3" t="str">
        <x:v>G041</x:v>
      </x:c>
      <x:c r="B42" s="3" t="str">
        <x:v>Fortinet</x:v>
      </x:c>
      <x:c r="C42" s="3" t="str">
        <x:v>India</x:v>
      </x:c>
      <x:c r="D42" s="3" t="str">
        <x:v>India</x:v>
      </x:c>
      <x:c r="E42" s="3" t="str">
        <x:v>Bengaluru; Hyderabad; Pune; remote-India</x:v>
      </x:c>
      <x:c r="F42" s="8" t="d">
        <x:v>2026-10-27T00:00:00.000Z</x:v>
      </x:c>
      <x:c r="G42" s="3" t="n">
        <x:v>1</x:v>
      </x:c>
      <x:c r="H42" s="3" t="n">
        <x:v>1</x:v>
      </x:c>
      <x:c r="I42" s="3" t="str">
        <x:v>1 accepted; 0 excluded candidate(s). Employer/ATS attempted first; board and wider company search checked. </x:v>
      </x:c>
    </x:row>
    <x:row r="43" ht="24" hidden="0" customHeight="1">
      <x:c r="A43" s="3" t="str">
        <x:v>G042</x:v>
      </x:c>
      <x:c r="B43" s="3" t="str">
        <x:v>SonicWall</x:v>
      </x:c>
      <x:c r="C43" s="3" t="str">
        <x:v>India</x:v>
      </x:c>
      <x:c r="D43" s="3" t="str">
        <x:v>India</x:v>
      </x:c>
      <x:c r="E43" s="3" t="str">
        <x:v>Bengaluru; Hyderabad; Pune; remote-India</x:v>
      </x:c>
      <x:c r="F43" s="8" t="d">
        <x:v>2026-10-27T00:00:00.000Z</x:v>
      </x:c>
      <x:c r="G43" s="3" t="n">
        <x:v>1</x:v>
      </x:c>
      <x:c r="H43" s="3" t="n">
        <x:v>0</x:v>
      </x:c>
      <x:c r="I43" s="3" t="str">
        <x:v>0 accepted; 1 excluded candidate(s). Employer/ATS attempted first; board and wider company search checked. No verifiable posting date; July 27 cutoff cannot be established.</x:v>
      </x:c>
    </x:row>
    <x:row r="44" ht="24" hidden="0" customHeight="1">
      <x:c r="A44" s="3" t="str">
        <x:v>G043</x:v>
      </x:c>
      <x:c r="B44" s="3" t="str">
        <x:v>Sophos</x:v>
      </x:c>
      <x:c r="C44" s="3" t="str">
        <x:v>India</x:v>
      </x:c>
      <x:c r="D44" s="3" t="str">
        <x:v>India</x:v>
      </x:c>
      <x:c r="E44" s="3" t="str">
        <x:v>Bengaluru; Hyderabad; Pune; remote-India</x:v>
      </x:c>
      <x:c r="F44" s="8" t="d">
        <x:v>2026-10-27T00:00:00.000Z</x:v>
      </x:c>
      <x:c r="G44" s="3" t="n">
        <x:v>0</x:v>
      </x:c>
      <x:c r="H44" s="3" t="n">
        <x:v>0</x:v>
      </x:c>
      <x:c r="I44" s="3" t="str">
        <x:v>Current official Lever index and broader search checked; no matching India software-building role verified. https://jobs.lever.co/sophos</x:v>
      </x:c>
    </x:row>
    <x:row r="45" ht="24" hidden="0" customHeight="1">
      <x:c r="A45" s="3" t="str">
        <x:v>G044</x:v>
      </x:c>
      <x:c r="B45" s="3" t="str">
        <x:v>Proofpoint</x:v>
      </x:c>
      <x:c r="C45" s="3" t="str">
        <x:v>India</x:v>
      </x:c>
      <x:c r="D45" s="3" t="str">
        <x:v>India</x:v>
      </x:c>
      <x:c r="E45" s="3" t="str">
        <x:v>Bengaluru; Hyderabad; Pune; remote-India</x:v>
      </x:c>
      <x:c r="F45" s="8" t="d">
        <x:v>2026-10-27T00:00:00.000Z</x:v>
      </x:c>
      <x:c r="G45" s="3" t="n">
        <x:v>0</x:v>
      </x:c>
      <x:c r="H45" s="3" t="n">
        <x:v>0</x:v>
      </x:c>
      <x:c r="I45" s="3" t="str">
        <x:v>0 accepted; 1 excluded candidate(s). Employer/ATS attempted first; board and wider company search checked. Unreadable posting: empty Workday page.</x:v>
      </x:c>
    </x:row>
    <x:row r="46" ht="24" hidden="0" customHeight="1">
      <x:c r="A46" s="3" t="str">
        <x:v>G045</x:v>
      </x:c>
      <x:c r="B46" s="3" t="str">
        <x:v>Abnormal AI</x:v>
      </x:c>
      <x:c r="C46" s="3" t="str">
        <x:v>India</x:v>
      </x:c>
      <x:c r="D46" s="3" t="str">
        <x:v>India</x:v>
      </x:c>
      <x:c r="E46" s="3" t="str">
        <x:v>Bengaluru; Hyderabad; Pune; remote-India</x:v>
      </x:c>
      <x:c r="F46" s="8" t="d">
        <x:v>2026-10-27T00:00:00.000Z</x:v>
      </x:c>
      <x:c r="G46" s="3" t="n">
        <x:v>1</x:v>
      </x:c>
      <x:c r="H46" s="3" t="n">
        <x:v>0</x:v>
      </x:c>
      <x:c r="I46" s="3" t="str">
        <x:v>0 accepted; 1 excluded candidate(s). Employer/ATS attempted first; board and wider company search checked. No verifiable posting date; July 27 cutoff cannot be established.</x:v>
      </x:c>
    </x:row>
    <x:row r="47" ht="24" hidden="0" customHeight="1">
      <x:c r="A47" s="3" t="str">
        <x:v>G046</x:v>
      </x:c>
      <x:c r="B47" s="3" t="str">
        <x:v>SailPoint</x:v>
      </x:c>
      <x:c r="C47" s="3" t="str">
        <x:v>India</x:v>
      </x:c>
      <x:c r="D47" s="3" t="str">
        <x:v>India</x:v>
      </x:c>
      <x:c r="E47" s="3" t="str">
        <x:v>Bengaluru; Hyderabad; Pune; remote-India</x:v>
      </x:c>
      <x:c r="F47" s="8" t="d">
        <x:v>2026-10-27T00:00:00.000Z</x:v>
      </x:c>
      <x:c r="G47" s="3" t="n">
        <x:v>0</x:v>
      </x:c>
      <x:c r="H47" s="3" t="n">
        <x:v>0</x:v>
      </x:c>
      <x:c r="I47" s="3" t="str">
        <x:v>0 accepted; 1 excluded candidate(s). Employer/ATS attempted first; board and wider company search checked. Unreadable posting: empty Workday page.</x:v>
      </x:c>
    </x:row>
    <x:row r="48" ht="24" hidden="0" customHeight="1">
      <x:c r="A48" s="3" t="str">
        <x:v>G047</x:v>
      </x:c>
      <x:c r="B48" s="3" t="str">
        <x:v>JumpCloud</x:v>
      </x:c>
      <x:c r="C48" s="3" t="str">
        <x:v>India</x:v>
      </x:c>
      <x:c r="D48" s="3" t="str">
        <x:v>India</x:v>
      </x:c>
      <x:c r="E48" s="3" t="str">
        <x:v>Bengaluru; Hyderabad; Pune; remote-India</x:v>
      </x:c>
      <x:c r="F48" s="8" t="d">
        <x:v>2026-10-27T00:00:00.000Z</x:v>
      </x:c>
      <x:c r="G48" s="3" t="n">
        <x:v>1</x:v>
      </x:c>
      <x:c r="H48" s="3" t="n">
        <x:v>1</x:v>
      </x:c>
      <x:c r="I48" s="3" t="str">
        <x:v>1 accepted; 0 excluded candidate(s). Employer/ATS attempted first; board and wider company search checked. </x:v>
      </x:c>
    </x:row>
    <x:row r="49" ht="24" hidden="0" customHeight="1">
      <x:c r="A49" s="3" t="str">
        <x:v>G048</x:v>
      </x:c>
      <x:c r="B49" s="3" t="str">
        <x:v>Ping Identity</x:v>
      </x:c>
      <x:c r="C49" s="3" t="str">
        <x:v>India</x:v>
      </x:c>
      <x:c r="D49" s="3" t="str">
        <x:v>India</x:v>
      </x:c>
      <x:c r="E49" s="3" t="str">
        <x:v>Bengaluru; Hyderabad; Pune; remote-India</x:v>
      </x:c>
      <x:c r="F49" s="8" t="d">
        <x:v>2026-10-27T00:00:00.000Z</x:v>
      </x:c>
      <x:c r="G49" s="3" t="n">
        <x:v>1</x:v>
      </x:c>
      <x:c r="H49" s="3" t="n">
        <x:v>1</x:v>
      </x:c>
      <x:c r="I49" s="3" t="str">
        <x:v>1 accepted; 0 excluded candidate(s). Employer/ATS attempted first; board and wider company search checked. </x:v>
      </x:c>
    </x:row>
    <x:row r="50" ht="24" hidden="0" customHeight="1">
      <x:c r="A50" s="3" t="str">
        <x:v>G049</x:v>
      </x:c>
      <x:c r="B50" s="3" t="str">
        <x:v>Snyk</x:v>
      </x:c>
      <x:c r="C50" s="3" t="str">
        <x:v>India</x:v>
      </x:c>
      <x:c r="D50" s="3" t="str">
        <x:v>India</x:v>
      </x:c>
      <x:c r="E50" s="3" t="str">
        <x:v>Bengaluru; Hyderabad; Pune; remote-India</x:v>
      </x:c>
      <x:c r="F50" s="8" t="d">
        <x:v>2026-10-27T00:00:00.000Z</x:v>
      </x:c>
      <x:c r="G50" s="3" t="n">
        <x:v>0</x:v>
      </x:c>
      <x:c r="H50" s="3" t="n">
        <x:v>0</x:v>
      </x:c>
      <x:c r="I50" s="3" t="str">
        <x:v>0 accepted; 1 excluded candidate(s). Employer/ATS attempted first; board and wider company search checked. Board explicitly says the job is no longer accepting applications.</x:v>
      </x:c>
    </x:row>
    <x:row r="51" ht="24" hidden="0" customHeight="1">
      <x:c r="A51" s="3" t="str">
        <x:v>G050</x:v>
      </x:c>
      <x:c r="B51" s="3" t="str">
        <x:v>Fivetran</x:v>
      </x:c>
      <x:c r="C51" s="3" t="str">
        <x:v>India</x:v>
      </x:c>
      <x:c r="D51" s="3" t="str">
        <x:v>India</x:v>
      </x:c>
      <x:c r="E51" s="3" t="str">
        <x:v>Bengaluru; Hyderabad; Pune; remote-India</x:v>
      </x:c>
      <x:c r="F51" s="8" t="d">
        <x:v>2026-10-27T00:00:00.000Z</x:v>
      </x:c>
      <x:c r="G51" s="3" t="n">
        <x:v>1</x:v>
      </x:c>
      <x:c r="H51" s="3" t="n">
        <x:v>1</x:v>
      </x:c>
      <x:c r="I51" s="3" t="str">
        <x:v>1 accepted; 0 excluded candidate(s). Employer/ATS attempted first; board and wider company search checked. </x:v>
      </x:c>
    </x:row>
    <x:row r="52" ht="24" hidden="0" customHeight="1">
      <x:c r="A52" s="3" t="str">
        <x:v>G051</x:v>
      </x:c>
      <x:c r="B52" s="3" t="str">
        <x:v>Adyen</x:v>
      </x:c>
      <x:c r="C52" s="3" t="str">
        <x:v>Europe</x:v>
      </x:c>
      <x:c r="D52" s="3" t="str">
        <x:v>Netherlands</x:v>
      </x:c>
      <x:c r="E52" s="3" t="str">
        <x:v>Netherlands</x:v>
      </x:c>
      <x:c r="F52" s="8" t="d">
        <x:v>2026-10-27T00:00:00.000Z</x:v>
      </x:c>
      <x:c r="G52" s="3" t="n">
        <x:v>1</x:v>
      </x:c>
      <x:c r="H52" s="3" t="n">
        <x:v>0</x:v>
      </x:c>
      <x:c r="I52" s="3" t="str">
        <x:v>0 accepted; 1 excluded candidate(s). Employer/ATS and readable-board routes checked. No verifiable posting date; July 27 cutoff cannot be established.</x:v>
      </x:c>
    </x:row>
    <x:row r="53" ht="24" hidden="0" customHeight="1">
      <x:c r="A53" s="3" t="str">
        <x:v>G052</x:v>
      </x:c>
      <x:c r="B53" s="3" t="str">
        <x:v>Booking.com</x:v>
      </x:c>
      <x:c r="C53" s="3" t="str">
        <x:v>Europe</x:v>
      </x:c>
      <x:c r="D53" s="3" t="str">
        <x:v>Netherlands</x:v>
      </x:c>
      <x:c r="E53" s="3" t="str">
        <x:v>Netherlands</x:v>
      </x:c>
      <x:c r="F53" s="8" t="d">
        <x:v>2026-10-27T00:00:00.000Z</x:v>
      </x:c>
      <x:c r="G53" s="3" t="n">
        <x:v>0</x:v>
      </x:c>
      <x:c r="H53" s="3" t="n">
        <x:v>0</x:v>
      </x:c>
      <x:c r="I53" s="3" t="str">
        <x:v>Official careers/ATS search and broader boards checked; no matching dated senior infrastructure posting verified. https://careers.booking.com/teams/</x:v>
      </x:c>
    </x:row>
    <x:row r="54" ht="24" hidden="0" customHeight="1">
      <x:c r="A54" s="3" t="str">
        <x:v>G053</x:v>
      </x:c>
      <x:c r="B54" s="3" t="str">
        <x:v>Picnic</x:v>
      </x:c>
      <x:c r="C54" s="3" t="str">
        <x:v>Europe</x:v>
      </x:c>
      <x:c r="D54" s="3" t="str">
        <x:v>Netherlands</x:v>
      </x:c>
      <x:c r="E54" s="3" t="str">
        <x:v>Netherlands</x:v>
      </x:c>
      <x:c r="F54" s="8" t="d">
        <x:v>2026-10-27T00:00:00.000Z</x:v>
      </x:c>
      <x:c r="G54" s="3" t="n">
        <x:v>1</x:v>
      </x:c>
      <x:c r="H54" s="3" t="n">
        <x:v>0</x:v>
      </x:c>
      <x:c r="I54" s="3" t="str">
        <x:v>0 accepted; 1 excluded candidate(s). Employer/ATS and readable-board routes checked. No verifiable posting date; July 27 cutoff cannot be established.</x:v>
      </x:c>
    </x:row>
    <x:row r="55" ht="24" hidden="0" customHeight="1">
      <x:c r="A55" s="3" t="str">
        <x:v>G054</x:v>
      </x:c>
      <x:c r="B55" s="3" t="str">
        <x:v>Miro</x:v>
      </x:c>
      <x:c r="C55" s="3" t="str">
        <x:v>Europe</x:v>
      </x:c>
      <x:c r="D55" s="3" t="str">
        <x:v>Netherlands</x:v>
      </x:c>
      <x:c r="E55" s="3" t="str">
        <x:v>Netherlands</x:v>
      </x:c>
      <x:c r="F55" s="8" t="d">
        <x:v>2026-10-27T00:00:00.000Z</x:v>
      </x:c>
      <x:c r="G55" s="3" t="n">
        <x:v>1</x:v>
      </x:c>
      <x:c r="H55" s="3" t="n">
        <x:v>0</x:v>
      </x:c>
      <x:c r="I55" s="3" t="str">
        <x:v>0 accepted; 1 excluded candidate(s). Employer/ATS and readable-board routes checked. Board explicitly says job no longer available.</x:v>
      </x:c>
    </x:row>
    <x:row r="56" ht="24" hidden="0" customHeight="1">
      <x:c r="A56" s="3" t="str">
        <x:v>G055</x:v>
      </x:c>
      <x:c r="B56" s="3" t="str">
        <x:v>Mollie</x:v>
      </x:c>
      <x:c r="C56" s="3" t="str">
        <x:v>Europe</x:v>
      </x:c>
      <x:c r="D56" s="3" t="str">
        <x:v>Netherlands</x:v>
      </x:c>
      <x:c r="E56" s="3" t="str">
        <x:v>Netherlands</x:v>
      </x:c>
      <x:c r="F56" s="8" t="d">
        <x:v>2026-10-27T00:00:00.000Z</x:v>
      </x:c>
      <x:c r="G56" s="3" t="n">
        <x:v>0</x:v>
      </x:c>
      <x:c r="H56" s="3" t="n">
        <x:v>0</x:v>
      </x:c>
      <x:c r="I56" s="3" t="str">
        <x:v>0 accepted; 1 excluded candidate(s). Employer/ATS and readable-board routes checked. Unreadable employer posting: JavaScript shell.</x:v>
      </x:c>
    </x:row>
    <x:row r="57" ht="24" hidden="0" customHeight="1">
      <x:c r="A57" s="3" t="str">
        <x:v>G056</x:v>
      </x:c>
      <x:c r="B57" s="3" t="str">
        <x:v>bunq</x:v>
      </x:c>
      <x:c r="C57" s="3" t="str">
        <x:v>Europe</x:v>
      </x:c>
      <x:c r="D57" s="3" t="str">
        <x:v>Netherlands</x:v>
      </x:c>
      <x:c r="E57" s="3" t="str">
        <x:v>Netherlands</x:v>
      </x:c>
      <x:c r="F57" s="8" t="d">
        <x:v>2026-10-27T00:00:00.000Z</x:v>
      </x:c>
      <x:c r="G57" s="3" t="n">
        <x:v>0</x:v>
      </x:c>
      <x:c r="H57" s="3" t="n">
        <x:v>0</x:v>
      </x:c>
      <x:c r="I57" s="3" t="str">
        <x:v>Official current positions and broader search checked; no matching backend/platform opening verified. https://careers.bunq.com/positions</x:v>
      </x:c>
    </x:row>
    <x:row r="58" ht="24" hidden="0" customHeight="1">
      <x:c r="A58" s="3" t="str">
        <x:v>G057</x:v>
      </x:c>
      <x:c r="B58" s="3" t="str">
        <x:v>Backbase</x:v>
      </x:c>
      <x:c r="C58" s="3" t="str">
        <x:v>Europe</x:v>
      </x:c>
      <x:c r="D58" s="3" t="str">
        <x:v>Netherlands</x:v>
      </x:c>
      <x:c r="E58" s="3" t="str">
        <x:v>Netherlands</x:v>
      </x:c>
      <x:c r="F58" s="8" t="d">
        <x:v>2026-10-27T00:00:00.000Z</x:v>
      </x:c>
      <x:c r="G58" s="3" t="n">
        <x:v>1</x:v>
      </x:c>
      <x:c r="H58" s="3" t="n">
        <x:v>0</x:v>
      </x:c>
      <x:c r="I58" s="3" t="str">
        <x:v>0 accepted; 1 excluded candidate(s). Employer/ATS and readable-board routes checked. Duties mainly release support, environment operations and CI/CD maintenance.</x:v>
      </x:c>
    </x:row>
    <x:row r="59" ht="24" hidden="0" customHeight="1">
      <x:c r="A59" s="3" t="str">
        <x:v>G058</x:v>
      </x:c>
      <x:c r="B59" s="3" t="str">
        <x:v>TomTom</x:v>
      </x:c>
      <x:c r="C59" s="3" t="str">
        <x:v>Europe</x:v>
      </x:c>
      <x:c r="D59" s="3" t="str">
        <x:v>Netherlands</x:v>
      </x:c>
      <x:c r="E59" s="3" t="str">
        <x:v>Netherlands</x:v>
      </x:c>
      <x:c r="F59" s="8" t="d">
        <x:v>2026-10-27T00:00:00.000Z</x:v>
      </x:c>
      <x:c r="G59" s="3" t="n">
        <x:v>1</x:v>
      </x:c>
      <x:c r="H59" s="3" t="n">
        <x:v>0</x:v>
      </x:c>
      <x:c r="I59" s="3" t="str">
        <x:v>0 accepted; 1 excluded candidate(s). Employer/ATS and readable-board routes checked. Duties mainly ML pipeline operations and monitoring, not platform software development.</x:v>
      </x:c>
    </x:row>
    <x:row r="60" ht="15" hidden="0" customHeight="1">
      <x:c r="A60" s="3" t="str">
        <x:v>G059</x:v>
      </x:c>
      <x:c r="B60" s="3" t="str">
        <x:v>Stream</x:v>
      </x:c>
      <x:c r="C60" s="3" t="str">
        <x:v>Europe</x:v>
      </x:c>
      <x:c r="D60" s="3" t="str">
        <x:v>Netherlands</x:v>
      </x:c>
      <x:c r="E60" s="3" t="str">
        <x:v>Netherlands</x:v>
      </x:c>
      <x:c r="F60" s="8" t="d">
        <x:v>2026-10-27T00:00:00.000Z</x:v>
      </x:c>
      <x:c r="G60" s="3" t="n">
        <x:v>1</x:v>
      </x:c>
      <x:c r="H60" s="3" t="n">
        <x:v>1</x:v>
      </x:c>
      <x:c r="I60" s="3" t="str">
        <x:v>1 accepted; 0 excluded candidate(s). Employer/ATS and readable-board routes checked. </x:v>
      </x:c>
    </x:row>
    <x:row r="61" ht="24" hidden="0" customHeight="1">
      <x:c r="A61" s="3" t="str">
        <x:v>G060</x:v>
      </x:c>
      <x:c r="B61" s="3" t="str">
        <x:v>Weaviate</x:v>
      </x:c>
      <x:c r="C61" s="3" t="str">
        <x:v>Europe</x:v>
      </x:c>
      <x:c r="D61" s="3" t="str">
        <x:v>Netherlands</x:v>
      </x:c>
      <x:c r="E61" s="3" t="str">
        <x:v>Netherlands</x:v>
      </x:c>
      <x:c r="F61" s="8" t="d">
        <x:v>2026-10-27T00:00:00.000Z</x:v>
      </x:c>
      <x:c r="G61" s="3" t="n">
        <x:v>1</x:v>
      </x:c>
      <x:c r="H61" s="3" t="n">
        <x:v>0</x:v>
      </x:c>
      <x:c r="I61" s="3" t="str">
        <x:v>0 accepted; 1 excluded candidate(s). Employer/ATS and readable-board routes checked. Board explicitly says no longer accepting applications.</x:v>
      </x:c>
    </x:row>
    <x:row r="62" ht="24" hidden="0" customHeight="1">
      <x:c r="A62" s="3" t="str">
        <x:v>G061</x:v>
      </x:c>
      <x:c r="B62" s="3" t="str">
        <x:v>Intercom</x:v>
      </x:c>
      <x:c r="C62" s="3" t="str">
        <x:v>Europe</x:v>
      </x:c>
      <x:c r="D62" s="3" t="str">
        <x:v>Ireland</x:v>
      </x:c>
      <x:c r="E62" s="3" t="str">
        <x:v>Ireland</x:v>
      </x:c>
      <x:c r="F62" s="8" t="d">
        <x:v>2026-10-27T00:00:00.000Z</x:v>
      </x:c>
      <x:c r="G62" s="3" t="n">
        <x:v>0</x:v>
      </x:c>
      <x:c r="H62" s="3" t="n">
        <x:v>0</x:v>
      </x:c>
      <x:c r="I62" s="3" t="str">
        <x:v>0 accepted; 1 excluded candidate(s). Employer/ATS and readable-board routes checked. Closed or removed: employer redirects to error=true index.</x:v>
      </x:c>
    </x:row>
    <x:row r="63" ht="24" hidden="0" customHeight="1">
      <x:c r="A63" s="3" t="str">
        <x:v>G062</x:v>
      </x:c>
      <x:c r="B63" s="3" t="str">
        <x:v>HubSpot</x:v>
      </x:c>
      <x:c r="C63" s="3" t="str">
        <x:v>Europe</x:v>
      </x:c>
      <x:c r="D63" s="3" t="str">
        <x:v>Ireland</x:v>
      </x:c>
      <x:c r="E63" s="3" t="str">
        <x:v>Ireland</x:v>
      </x:c>
      <x:c r="F63" s="8" t="d">
        <x:v>2026-10-27T00:00:00.000Z</x:v>
      </x:c>
      <x:c r="G63" s="3" t="n">
        <x:v>1</x:v>
      </x:c>
      <x:c r="H63" s="3" t="n">
        <x:v>0</x:v>
      </x:c>
      <x:c r="I63" s="3" t="str">
        <x:v>0 accepted; 1 excluded candidate(s). Employer/ATS and readable-board routes checked. Go/Python eligibility not established by the readable JD; language tag appears under AI Summary.</x:v>
      </x:c>
    </x:row>
    <x:row r="64" ht="24" hidden="0" customHeight="1">
      <x:c r="A64" s="3" t="str">
        <x:v>G063</x:v>
      </x:c>
      <x:c r="B64" s="3" t="str">
        <x:v>Workhuman</x:v>
      </x:c>
      <x:c r="C64" s="3" t="str">
        <x:v>Europe</x:v>
      </x:c>
      <x:c r="D64" s="3" t="str">
        <x:v>Ireland</x:v>
      </x:c>
      <x:c r="E64" s="3" t="str">
        <x:v>Ireland</x:v>
      </x:c>
      <x:c r="F64" s="8" t="d">
        <x:v>2026-10-27T00:00:00.000Z</x:v>
      </x:c>
      <x:c r="G64" s="3" t="n">
        <x:v>0</x:v>
      </x:c>
      <x:c r="H64" s="3" t="n">
        <x:v>0</x:v>
      </x:c>
      <x:c r="I64" s="3" t="str">
        <x:v>Official dated current openings and broader search checked; no matching software-building posting verified. https://www.workhuman.com/company/careers/list/</x:v>
      </x:c>
    </x:row>
    <x:row r="65" ht="24" hidden="0" customHeight="1">
      <x:c r="A65" s="3" t="str">
        <x:v>G064</x:v>
      </x:c>
      <x:c r="B65" s="3" t="str">
        <x:v>Teamwork</x:v>
      </x:c>
      <x:c r="C65" s="3" t="str">
        <x:v>Europe</x:v>
      </x:c>
      <x:c r="D65" s="3" t="str">
        <x:v>Ireland</x:v>
      </x:c>
      <x:c r="E65" s="3" t="str">
        <x:v>Ireland</x:v>
      </x:c>
      <x:c r="F65" s="8" t="d">
        <x:v>2026-10-27T00:00:00.000Z</x:v>
      </x:c>
      <x:c r="G65" s="3" t="n">
        <x:v>0</x:v>
      </x:c>
      <x:c r="H65" s="3" t="n">
        <x:v>0</x:v>
      </x:c>
      <x:c r="I65" s="3" t="str">
        <x:v>Official current openings and broader search checked; no matching technical vacancy verified. https://www.teamwork.com/careers/</x:v>
      </x:c>
    </x:row>
    <x:row r="66" ht="24" hidden="0" customHeight="1">
      <x:c r="A66" s="3" t="str">
        <x:v>G065</x:v>
      </x:c>
      <x:c r="B66" s="3" t="str">
        <x:v>Tines</x:v>
      </x:c>
      <x:c r="C66" s="3" t="str">
        <x:v>Europe</x:v>
      </x:c>
      <x:c r="D66" s="3" t="str">
        <x:v>Ireland</x:v>
      </x:c>
      <x:c r="E66" s="3" t="str">
        <x:v>Ireland</x:v>
      </x:c>
      <x:c r="F66" s="8" t="d">
        <x:v>2026-10-27T00:00:00.000Z</x:v>
      </x:c>
      <x:c r="G66" s="3" t="n">
        <x:v>0</x:v>
      </x:c>
      <x:c r="H66" s="3" t="n">
        <x:v>0</x:v>
      </x:c>
      <x:c r="I66" s="3" t="str">
        <x:v>Official Greenhouse index and broader search checked; Ireland security operations role does not establish target software work. https://job-boards.greenhouse.io/tines</x:v>
      </x:c>
    </x:row>
    <x:row r="67" ht="24" hidden="0" customHeight="1">
      <x:c r="A67" s="3" t="str">
        <x:v>G066</x:v>
      </x:c>
      <x:c r="B67" s="3" t="str">
        <x:v>Kitman Labs</x:v>
      </x:c>
      <x:c r="C67" s="3" t="str">
        <x:v>Europe</x:v>
      </x:c>
      <x:c r="D67" s="3" t="str">
        <x:v>Ireland</x:v>
      </x:c>
      <x:c r="E67" s="3" t="str">
        <x:v>Ireland</x:v>
      </x:c>
      <x:c r="F67" s="8" t="d">
        <x:v>2026-10-27T00:00:00.000Z</x:v>
      </x:c>
      <x:c r="G67" s="3" t="n">
        <x:v>0</x:v>
      </x:c>
      <x:c r="H67" s="3" t="n">
        <x:v>0</x:v>
      </x:c>
      <x:c r="I67" s="3" t="str">
        <x:v>Official Workable index unreadable; Lever index and wider boards did not establish a matching live dated Go/Python role. https://apply.workable.com/kitman/</x:v>
      </x:c>
    </x:row>
    <x:row r="68" ht="24" hidden="0" customHeight="1">
      <x:c r="A68" s="3" t="str">
        <x:v>G067</x:v>
      </x:c>
      <x:c r="B68" s="3" t="str">
        <x:v>Fenergo</x:v>
      </x:c>
      <x:c r="C68" s="3" t="str">
        <x:v>Europe</x:v>
      </x:c>
      <x:c r="D68" s="3" t="str">
        <x:v>Ireland</x:v>
      </x:c>
      <x:c r="E68" s="3" t="str">
        <x:v>Ireland</x:v>
      </x:c>
      <x:c r="F68" s="8" t="d">
        <x:v>2026-10-27T00:00:00.000Z</x:v>
      </x:c>
      <x:c r="G68" s="3" t="n">
        <x:v>0</x:v>
      </x:c>
      <x:c r="H68" s="3" t="n">
        <x:v>0</x:v>
      </x:c>
      <x:c r="I68" s="3" t="str">
        <x:v>Official career/Workable index and broader search checked; no matching readable dated Ireland role verified. https://www.fenergo.com/careers</x:v>
      </x:c>
    </x:row>
    <x:row r="69" ht="24" hidden="0" customHeight="1">
      <x:c r="A69" s="3" t="str">
        <x:v>G068</x:v>
      </x:c>
      <x:c r="B69" s="3" t="str">
        <x:v>LetsGetChecked</x:v>
      </x:c>
      <x:c r="C69" s="3" t="str">
        <x:v>Europe</x:v>
      </x:c>
      <x:c r="D69" s="3" t="str">
        <x:v>Ireland</x:v>
      </x:c>
      <x:c r="E69" s="3" t="str">
        <x:v>Ireland</x:v>
      </x:c>
      <x:c r="F69" s="8" t="d">
        <x:v>2026-10-27T00:00:00.000Z</x:v>
      </x:c>
      <x:c r="G69" s="3" t="n">
        <x:v>1</x:v>
      </x:c>
      <x:c r="H69" s="3" t="n">
        <x:v>0</x:v>
      </x:c>
      <x:c r="I69" s="3" t="str">
        <x:v>0 accepted; 1 excluded candidate(s). Employer/ATS and readable-board routes checked. Location is United States; outside requested countries.</x:v>
      </x:c>
    </x:row>
    <x:row r="70" ht="15" hidden="0" customHeight="1">
      <x:c r="A70" s="3" t="str">
        <x:v>G069</x:v>
      </x:c>
      <x:c r="B70" s="3" t="str">
        <x:v>Toast</x:v>
      </x:c>
      <x:c r="C70" s="3" t="str">
        <x:v>Europe</x:v>
      </x:c>
      <x:c r="D70" s="3" t="str">
        <x:v>Ireland</x:v>
      </x:c>
      <x:c r="E70" s="3" t="str">
        <x:v>Ireland</x:v>
      </x:c>
      <x:c r="F70" s="8" t="d">
        <x:v>2026-10-27T00:00:00.000Z</x:v>
      </x:c>
      <x:c r="G70" s="3" t="n">
        <x:v>1</x:v>
      </x:c>
      <x:c r="H70" s="3" t="n">
        <x:v>1</x:v>
      </x:c>
      <x:c r="I70" s="3" t="str">
        <x:v>1 accepted; 0 excluded candidate(s). Employer/ATS and readable-board routes checked. </x:v>
      </x:c>
    </x:row>
    <x:row r="71" ht="24" hidden="0" customHeight="1">
      <x:c r="A71" s="3" t="str">
        <x:v>G070</x:v>
      </x:c>
      <x:c r="B71" s="3" t="str">
        <x:v>Workvivo</x:v>
      </x:c>
      <x:c r="C71" s="3" t="str">
        <x:v>Europe</x:v>
      </x:c>
      <x:c r="D71" s="3" t="str">
        <x:v>Ireland</x:v>
      </x:c>
      <x:c r="E71" s="3" t="str">
        <x:v>Ireland</x:v>
      </x:c>
      <x:c r="F71" s="8" t="d">
        <x:v>2026-10-27T00:00:00.000Z</x:v>
      </x:c>
      <x:c r="G71" s="3" t="n">
        <x:v>0</x:v>
      </x:c>
      <x:c r="H71" s="3" t="n">
        <x:v>0</x:v>
      </x:c>
      <x:c r="I71" s="3" t="str">
        <x:v>0 accepted; 1 excluded candidate(s). Employer/ATS and readable-board routes checked. Unreadable posting: employer URL returns 404.</x:v>
      </x:c>
    </x:row>
    <x:row r="72" ht="24" hidden="0" customHeight="1">
      <x:c r="A72" s="3" t="str">
        <x:v>G071</x:v>
      </x:c>
      <x:c r="B72" s="3" t="str">
        <x:v>Zalando</x:v>
      </x:c>
      <x:c r="C72" s="3" t="str">
        <x:v>Europe</x:v>
      </x:c>
      <x:c r="D72" s="3" t="str">
        <x:v>Germany</x:v>
      </x:c>
      <x:c r="E72" s="3" t="str">
        <x:v>Germany; English-working only</x:v>
      </x:c>
      <x:c r="F72" s="8" t="d">
        <x:v>2026-10-27T00:00:00.000Z</x:v>
      </x:c>
      <x:c r="G72" s="3" t="n">
        <x:v>1</x:v>
      </x:c>
      <x:c r="H72" s="3" t="n">
        <x:v>0</x:v>
      </x:c>
      <x:c r="I72" s="3" t="str">
        <x:v>0 accepted; 1 excluded candidate(s). Employer/ATS and readable-board routes checked. Java-based language proficiency is required.</x:v>
      </x:c>
    </x:row>
    <x:row r="73" ht="24" hidden="0" customHeight="1">
      <x:c r="A73" s="3" t="str">
        <x:v>G072</x:v>
      </x:c>
      <x:c r="B73" s="3" t="str">
        <x:v>Delivery Hero</x:v>
      </x:c>
      <x:c r="C73" s="3" t="str">
        <x:v>Europe</x:v>
      </x:c>
      <x:c r="D73" s="3" t="str">
        <x:v>Germany</x:v>
      </x:c>
      <x:c r="E73" s="3" t="str">
        <x:v>Germany; English-working only</x:v>
      </x:c>
      <x:c r="F73" s="8" t="d">
        <x:v>2026-10-27T00:00:00.000Z</x:v>
      </x:c>
      <x:c r="G73" s="3" t="n">
        <x:v>1</x:v>
      </x:c>
      <x:c r="H73" s="3" t="n">
        <x:v>0</x:v>
      </x:c>
      <x:c r="I73" s="3" t="str">
        <x:v>0 accepted; 1 excluded candidate(s). Employer/ATS and readable-board routes checked. Employer explicitly says vacancy expired.</x:v>
      </x:c>
    </x:row>
    <x:row r="74" ht="15" hidden="0" customHeight="1">
      <x:c r="A74" s="3" t="str">
        <x:v>G073</x:v>
      </x:c>
      <x:c r="B74" s="3" t="str">
        <x:v>HelloFresh</x:v>
      </x:c>
      <x:c r="C74" s="3" t="str">
        <x:v>Europe</x:v>
      </x:c>
      <x:c r="D74" s="3" t="str">
        <x:v>Germany</x:v>
      </x:c>
      <x:c r="E74" s="3" t="str">
        <x:v>Germany; English-working only</x:v>
      </x:c>
      <x:c r="F74" s="8" t="d">
        <x:v>2026-10-27T00:00:00.000Z</x:v>
      </x:c>
      <x:c r="G74" s="3" t="n">
        <x:v>1</x:v>
      </x:c>
      <x:c r="H74" s="3" t="n">
        <x:v>1</x:v>
      </x:c>
      <x:c r="I74" s="3" t="str">
        <x:v>1 accepted; 0 excluded candidate(s). Employer/ATS and readable-board routes checked. </x:v>
      </x:c>
    </x:row>
    <x:row r="75" ht="24" hidden="0" customHeight="1">
      <x:c r="A75" s="3" t="str">
        <x:v>G074</x:v>
      </x:c>
      <x:c r="B75" s="3" t="str">
        <x:v>N26</x:v>
      </x:c>
      <x:c r="C75" s="3" t="str">
        <x:v>Europe</x:v>
      </x:c>
      <x:c r="D75" s="3" t="str">
        <x:v>Germany</x:v>
      </x:c>
      <x:c r="E75" s="3" t="str">
        <x:v>Germany; English-working only</x:v>
      </x:c>
      <x:c r="F75" s="8" t="d">
        <x:v>2026-10-27T00:00:00.000Z</x:v>
      </x:c>
      <x:c r="G75" s="3" t="n">
        <x:v>1</x:v>
      </x:c>
      <x:c r="H75" s="3" t="n">
        <x:v>0</x:v>
      </x:c>
      <x:c r="I75" s="3" t="str">
        <x:v>0 accepted; 1 excluded candidate(s). Employer/ATS and readable-board routes checked. No verifiable posting date; July 27 cutoff cannot be established.</x:v>
      </x:c>
    </x:row>
    <x:row r="76" ht="24" hidden="0" customHeight="1">
      <x:c r="A76" s="3" t="str">
        <x:v>G075</x:v>
      </x:c>
      <x:c r="B76" s="3" t="str">
        <x:v>Trade Republic</x:v>
      </x:c>
      <x:c r="C76" s="3" t="str">
        <x:v>Europe</x:v>
      </x:c>
      <x:c r="D76" s="3" t="str">
        <x:v>Germany</x:v>
      </x:c>
      <x:c r="E76" s="3" t="str">
        <x:v>Germany; English-working only</x:v>
      </x:c>
      <x:c r="F76" s="8" t="d">
        <x:v>2026-10-27T00:00:00.000Z</x:v>
      </x:c>
      <x:c r="G76" s="3" t="n">
        <x:v>1</x:v>
      </x:c>
      <x:c r="H76" s="3" t="n">
        <x:v>0</x:v>
      </x:c>
      <x:c r="I76" s="3" t="str">
        <x:v>0 accepted; 1 excluded candidate(s). Employer/ATS and readable-board routes checked. Board explicitly says job no longer available.</x:v>
      </x:c>
    </x:row>
    <x:row r="77" ht="15" hidden="0" customHeight="1">
      <x:c r="A77" s="3" t="str">
        <x:v>G076</x:v>
      </x:c>
      <x:c r="B77" s="3" t="str">
        <x:v>Contentful</x:v>
      </x:c>
      <x:c r="C77" s="3" t="str">
        <x:v>Europe</x:v>
      </x:c>
      <x:c r="D77" s="3" t="str">
        <x:v>Germany</x:v>
      </x:c>
      <x:c r="E77" s="3" t="str">
        <x:v>Germany; English-working only</x:v>
      </x:c>
      <x:c r="F77" s="8" t="str"/>
      <x:c r="G77" s="3" t="str"/>
      <x:c r="H77" s="3" t="str"/>
      <x:c r="I77" s="3" t="str">
        <x:v>Precommitted search target; hiring and role eligibility to verify</x:v>
      </x:c>
    </x:row>
    <x:row r="78" ht="15" hidden="0" customHeight="1">
      <x:c r="A78" s="3" t="str">
        <x:v>G077</x:v>
      </x:c>
      <x:c r="B78" s="3" t="str">
        <x:v>Celonis</x:v>
      </x:c>
      <x:c r="C78" s="3" t="str">
        <x:v>Europe</x:v>
      </x:c>
      <x:c r="D78" s="3" t="str">
        <x:v>Germany</x:v>
      </x:c>
      <x:c r="E78" s="3" t="str">
        <x:v>Germany; English-working only</x:v>
      </x:c>
      <x:c r="F78" s="8" t="str"/>
      <x:c r="G78" s="3" t="str"/>
      <x:c r="H78" s="3" t="str"/>
      <x:c r="I78" s="3" t="str">
        <x:v>Precommitted search target; hiring and role eligibility to verify</x:v>
      </x:c>
    </x:row>
    <x:row r="79" ht="15" hidden="0" customHeight="1">
      <x:c r="A79" s="3" t="str">
        <x:v>G078</x:v>
      </x:c>
      <x:c r="B79" s="3" t="str">
        <x:v>Qdrant</x:v>
      </x:c>
      <x:c r="C79" s="3" t="str">
        <x:v>Europe</x:v>
      </x:c>
      <x:c r="D79" s="3" t="str">
        <x:v>Germany</x:v>
      </x:c>
      <x:c r="E79" s="3" t="str">
        <x:v>Germany; English-working only</x:v>
      </x:c>
      <x:c r="F79" s="8" t="str"/>
      <x:c r="G79" s="3" t="str"/>
      <x:c r="H79" s="3" t="str"/>
      <x:c r="I79" s="3" t="str">
        <x:v>Precommitted search target; hiring and role eligibility to verify</x:v>
      </x:c>
    </x:row>
    <x:row r="80" ht="15" hidden="0" customHeight="1">
      <x:c r="A80" s="3" t="str">
        <x:v>G079</x:v>
      </x:c>
      <x:c r="B80" s="3" t="str">
        <x:v>DeepL</x:v>
      </x:c>
      <x:c r="C80" s="3" t="str">
        <x:v>Europe</x:v>
      </x:c>
      <x:c r="D80" s="3" t="str">
        <x:v>Germany</x:v>
      </x:c>
      <x:c r="E80" s="3" t="str">
        <x:v>Germany; English-working only</x:v>
      </x:c>
      <x:c r="F80" s="8" t="str"/>
      <x:c r="G80" s="3" t="str"/>
      <x:c r="H80" s="3" t="str"/>
      <x:c r="I80" s="3" t="str">
        <x:v>Precommitted search target; hiring and role eligibility to verify</x:v>
      </x:c>
    </x:row>
    <x:row r="81" ht="15" hidden="0" customHeight="1">
      <x:c r="A81" s="3" t="str">
        <x:v>G080</x:v>
      </x:c>
      <x:c r="B81" s="3" t="str">
        <x:v>Flix</x:v>
      </x:c>
      <x:c r="C81" s="3" t="str">
        <x:v>Europe</x:v>
      </x:c>
      <x:c r="D81" s="3" t="str">
        <x:v>Germany</x:v>
      </x:c>
      <x:c r="E81" s="3" t="str">
        <x:v>Germany; English-working only</x:v>
      </x:c>
      <x:c r="F81" s="8" t="str"/>
      <x:c r="G81" s="3" t="str"/>
      <x:c r="H81" s="3" t="str"/>
      <x:c r="I81" s="3" t="str">
        <x:v>Precommitted search target; hiring and role eligibility to verify</x:v>
      </x:c>
    </x:row>
    <x:row r="82" ht="15" hidden="0" customHeight="1">
      <x:c r="A82" s="3" t="str">
        <x:v>G081</x:v>
      </x:c>
      <x:c r="B82" s="3" t="str">
        <x:v>Careem</x:v>
      </x:c>
      <x:c r="C82" s="3" t="str">
        <x:v>Gulf</x:v>
      </x:c>
      <x:c r="D82" s="3" t="str">
        <x:v>UAE</x:v>
      </x:c>
      <x:c r="E82" s="3" t="str">
        <x:v>UAE</x:v>
      </x:c>
      <x:c r="F82" s="8" t="str"/>
      <x:c r="G82" s="3" t="str"/>
      <x:c r="H82" s="3" t="str"/>
      <x:c r="I82" s="3" t="str">
        <x:v>Precommitted search target; hiring and role eligibility to verify</x:v>
      </x:c>
    </x:row>
    <x:row r="83" ht="15" hidden="0" customHeight="1">
      <x:c r="A83" s="3" t="str">
        <x:v>G082</x:v>
      </x:c>
      <x:c r="B83" s="3" t="str">
        <x:v>talabat</x:v>
      </x:c>
      <x:c r="C83" s="3" t="str">
        <x:v>Gulf</x:v>
      </x:c>
      <x:c r="D83" s="3" t="str">
        <x:v>UAE</x:v>
      </x:c>
      <x:c r="E83" s="3" t="str">
        <x:v>UAE</x:v>
      </x:c>
      <x:c r="F83" s="8" t="str"/>
      <x:c r="G83" s="3" t="str"/>
      <x:c r="H83" s="3" t="str"/>
      <x:c r="I83" s="3" t="str">
        <x:v>Precommitted search target; hiring and role eligibility to verify</x:v>
      </x:c>
    </x:row>
    <x:row r="84" ht="15" hidden="0" customHeight="1">
      <x:c r="A84" s="3" t="str">
        <x:v>G083</x:v>
      </x:c>
      <x:c r="B84" s="3" t="str">
        <x:v>noon</x:v>
      </x:c>
      <x:c r="C84" s="3" t="str">
        <x:v>Gulf</x:v>
      </x:c>
      <x:c r="D84" s="3" t="str">
        <x:v>UAE</x:v>
      </x:c>
      <x:c r="E84" s="3" t="str">
        <x:v>UAE</x:v>
      </x:c>
      <x:c r="F84" s="8" t="str"/>
      <x:c r="G84" s="3" t="str"/>
      <x:c r="H84" s="3" t="str"/>
      <x:c r="I84" s="3" t="str">
        <x:v>Precommitted search target; hiring and role eligibility to verify</x:v>
      </x:c>
    </x:row>
    <x:row r="85" ht="15" hidden="0" customHeight="1">
      <x:c r="A85" s="3" t="str">
        <x:v>G084</x:v>
      </x:c>
      <x:c r="B85" s="3" t="str">
        <x:v>Property Finder</x:v>
      </x:c>
      <x:c r="C85" s="3" t="str">
        <x:v>Gulf</x:v>
      </x:c>
      <x:c r="D85" s="3" t="str">
        <x:v>UAE</x:v>
      </x:c>
      <x:c r="E85" s="3" t="str">
        <x:v>UAE</x:v>
      </x:c>
      <x:c r="F85" s="8" t="str"/>
      <x:c r="G85" s="3" t="str"/>
      <x:c r="H85" s="3" t="str"/>
      <x:c r="I85" s="3" t="str">
        <x:v>Precommitted search target; hiring and role eligibility to verify</x:v>
      </x:c>
    </x:row>
    <x:row r="86" ht="15" hidden="0" customHeight="1">
      <x:c r="A86" s="3" t="str">
        <x:v>G085</x:v>
      </x:c>
      <x:c r="B86" s="3" t="str">
        <x:v>Dubizzle Group</x:v>
      </x:c>
      <x:c r="C86" s="3" t="str">
        <x:v>Gulf</x:v>
      </x:c>
      <x:c r="D86" s="3" t="str">
        <x:v>UAE</x:v>
      </x:c>
      <x:c r="E86" s="3" t="str">
        <x:v>UAE</x:v>
      </x:c>
      <x:c r="F86" s="8" t="str"/>
      <x:c r="G86" s="3" t="str"/>
      <x:c r="H86" s="3" t="str"/>
      <x:c r="I86" s="3" t="str">
        <x:v>Precommitted search target; hiring and role eligibility to verify</x:v>
      </x:c>
    </x:row>
    <x:row r="87" ht="15" hidden="0" customHeight="1">
      <x:c r="A87" s="3" t="str">
        <x:v>G086</x:v>
      </x:c>
      <x:c r="B87" s="3" t="str">
        <x:v>Ziina</x:v>
      </x:c>
      <x:c r="C87" s="3" t="str">
        <x:v>Gulf</x:v>
      </x:c>
      <x:c r="D87" s="3" t="str">
        <x:v>UAE</x:v>
      </x:c>
      <x:c r="E87" s="3" t="str">
        <x:v>UAE</x:v>
      </x:c>
      <x:c r="F87" s="8" t="str"/>
      <x:c r="G87" s="3" t="str"/>
      <x:c r="H87" s="3" t="str"/>
      <x:c r="I87" s="3" t="str">
        <x:v>Precommitted search target; hiring and role eligibility to verify</x:v>
      </x:c>
    </x:row>
    <x:row r="88" ht="15" hidden="0" customHeight="1">
      <x:c r="A88" s="3" t="str">
        <x:v>G087</x:v>
      </x:c>
      <x:c r="B88" s="3" t="str">
        <x:v>Wio Bank</x:v>
      </x:c>
      <x:c r="C88" s="3" t="str">
        <x:v>Gulf</x:v>
      </x:c>
      <x:c r="D88" s="3" t="str">
        <x:v>UAE</x:v>
      </x:c>
      <x:c r="E88" s="3" t="str">
        <x:v>UAE</x:v>
      </x:c>
      <x:c r="F88" s="8" t="str"/>
      <x:c r="G88" s="3" t="str"/>
      <x:c r="H88" s="3" t="str"/>
      <x:c r="I88" s="3" t="str">
        <x:v>Precommitted search target; hiring and role eligibility to verify</x:v>
      </x:c>
    </x:row>
    <x:row r="89" ht="15" hidden="0" customHeight="1">
      <x:c r="A89" s="3" t="str">
        <x:v>G088</x:v>
      </x:c>
      <x:c r="B89" s="3" t="str">
        <x:v>Lean Technologies</x:v>
      </x:c>
      <x:c r="C89" s="3" t="str">
        <x:v>Gulf</x:v>
      </x:c>
      <x:c r="D89" s="3" t="str">
        <x:v>UAE</x:v>
      </x:c>
      <x:c r="E89" s="3" t="str">
        <x:v>UAE</x:v>
      </x:c>
      <x:c r="F89" s="8" t="str"/>
      <x:c r="G89" s="3" t="str"/>
      <x:c r="H89" s="3" t="str"/>
      <x:c r="I89" s="3" t="str">
        <x:v>Precommitted search target; hiring and role eligibility to verify</x:v>
      </x:c>
    </x:row>
    <x:row r="90" ht="15" hidden="0" customHeight="1">
      <x:c r="A90" s="3" t="str">
        <x:v>G089</x:v>
      </x:c>
      <x:c r="B90" s="3" t="str">
        <x:v>Huspy</x:v>
      </x:c>
      <x:c r="C90" s="3" t="str">
        <x:v>Gulf</x:v>
      </x:c>
      <x:c r="D90" s="3" t="str">
        <x:v>UAE</x:v>
      </x:c>
      <x:c r="E90" s="3" t="str">
        <x:v>UAE</x:v>
      </x:c>
      <x:c r="F90" s="8" t="str"/>
      <x:c r="G90" s="3" t="str"/>
      <x:c r="H90" s="3" t="str"/>
      <x:c r="I90" s="3" t="str">
        <x:v>Precommitted search target; hiring and role eligibility to verify</x:v>
      </x:c>
    </x:row>
    <x:row r="91" ht="15" hidden="0" customHeight="1">
      <x:c r="A91" s="3" t="str">
        <x:v>G090</x:v>
      </x:c>
      <x:c r="B91" s="3" t="str">
        <x:v>CAFU</x:v>
      </x:c>
      <x:c r="C91" s="3" t="str">
        <x:v>Gulf</x:v>
      </x:c>
      <x:c r="D91" s="3" t="str">
        <x:v>UAE</x:v>
      </x:c>
      <x:c r="E91" s="3" t="str">
        <x:v>UAE</x:v>
      </x:c>
      <x:c r="F91" s="8" t="str"/>
      <x:c r="G91" s="3" t="str"/>
      <x:c r="H91" s="3" t="str"/>
      <x:c r="I91" s="3" t="str">
        <x:v>Precommitted search target; hiring and role eligibility to verify</x:v>
      </x:c>
    </x:row>
    <x:row r="92" ht="15" hidden="0" customHeight="1">
      <x:c r="A92" s="3" t="str">
        <x:v>G091</x:v>
      </x:c>
      <x:c r="B92" s="3" t="str">
        <x:v>Tamara</x:v>
      </x:c>
      <x:c r="C92" s="3" t="str">
        <x:v>Gulf</x:v>
      </x:c>
      <x:c r="D92" s="3" t="str">
        <x:v>Saudi Arabia</x:v>
      </x:c>
      <x:c r="E92" s="3" t="str">
        <x:v>Saudi Arabia</x:v>
      </x:c>
      <x:c r="F92" s="8" t="str"/>
      <x:c r="G92" s="3" t="str"/>
      <x:c r="H92" s="3" t="str"/>
      <x:c r="I92" s="3" t="str">
        <x:v>Precommitted search target; hiring and role eligibility to verify</x:v>
      </x:c>
    </x:row>
    <x:row r="93" ht="15" hidden="0" customHeight="1">
      <x:c r="A93" s="3" t="str">
        <x:v>G092</x:v>
      </x:c>
      <x:c r="B93" s="3" t="str">
        <x:v>Tabby</x:v>
      </x:c>
      <x:c r="C93" s="3" t="str">
        <x:v>Gulf</x:v>
      </x:c>
      <x:c r="D93" s="3" t="str">
        <x:v>Saudi Arabia</x:v>
      </x:c>
      <x:c r="E93" s="3" t="str">
        <x:v>Saudi Arabia</x:v>
      </x:c>
      <x:c r="F93" s="8" t="str"/>
      <x:c r="G93" s="3" t="str"/>
      <x:c r="H93" s="3" t="str"/>
      <x:c r="I93" s="3" t="str">
        <x:v>Precommitted search target; hiring and role eligibility to verify</x:v>
      </x:c>
    </x:row>
    <x:row r="94" ht="15" hidden="0" customHeight="1">
      <x:c r="A94" s="3" t="str">
        <x:v>G093</x:v>
      </x:c>
      <x:c r="B94" s="3" t="str">
        <x:v>Foodics</x:v>
      </x:c>
      <x:c r="C94" s="3" t="str">
        <x:v>Gulf</x:v>
      </x:c>
      <x:c r="D94" s="3" t="str">
        <x:v>Saudi Arabia</x:v>
      </x:c>
      <x:c r="E94" s="3" t="str">
        <x:v>Saudi Arabia</x:v>
      </x:c>
      <x:c r="F94" s="8" t="str"/>
      <x:c r="G94" s="3" t="str"/>
      <x:c r="H94" s="3" t="str"/>
      <x:c r="I94" s="3" t="str">
        <x:v>Precommitted search target; hiring and role eligibility to verify</x:v>
      </x:c>
    </x:row>
    <x:row r="95" ht="15" hidden="0" customHeight="1">
      <x:c r="A95" s="3" t="str">
        <x:v>G094</x:v>
      </x:c>
      <x:c r="B95" s="3" t="str">
        <x:v>Salla</x:v>
      </x:c>
      <x:c r="C95" s="3" t="str">
        <x:v>Gulf</x:v>
      </x:c>
      <x:c r="D95" s="3" t="str">
        <x:v>Saudi Arabia</x:v>
      </x:c>
      <x:c r="E95" s="3" t="str">
        <x:v>Saudi Arabia</x:v>
      </x:c>
      <x:c r="F95" s="8" t="str"/>
      <x:c r="G95" s="3" t="str"/>
      <x:c r="H95" s="3" t="str"/>
      <x:c r="I95" s="3" t="str">
        <x:v>Precommitted search target; hiring and role eligibility to verify</x:v>
      </x:c>
    </x:row>
    <x:row r="96" ht="15" hidden="0" customHeight="1">
      <x:c r="A96" s="3" t="str">
        <x:v>G095</x:v>
      </x:c>
      <x:c r="B96" s="3" t="str">
        <x:v>Zid</x:v>
      </x:c>
      <x:c r="C96" s="3" t="str">
        <x:v>Gulf</x:v>
      </x:c>
      <x:c r="D96" s="3" t="str">
        <x:v>Saudi Arabia</x:v>
      </x:c>
      <x:c r="E96" s="3" t="str">
        <x:v>Saudi Arabia</x:v>
      </x:c>
      <x:c r="F96" s="8" t="str"/>
      <x:c r="G96" s="3" t="str"/>
      <x:c r="H96" s="3" t="str"/>
      <x:c r="I96" s="3" t="str">
        <x:v>Precommitted search target; hiring and role eligibility to verify</x:v>
      </x:c>
    </x:row>
    <x:row r="97" ht="15" hidden="0" customHeight="1">
      <x:c r="A97" s="3" t="str">
        <x:v>G096</x:v>
      </x:c>
      <x:c r="B97" s="3" t="str">
        <x:v>Lucidya</x:v>
      </x:c>
      <x:c r="C97" s="3" t="str">
        <x:v>Gulf</x:v>
      </x:c>
      <x:c r="D97" s="3" t="str">
        <x:v>Saudi Arabia</x:v>
      </x:c>
      <x:c r="E97" s="3" t="str">
        <x:v>Saudi Arabia</x:v>
      </x:c>
      <x:c r="F97" s="8" t="str"/>
      <x:c r="G97" s="3" t="str"/>
      <x:c r="H97" s="3" t="str"/>
      <x:c r="I97" s="3" t="str">
        <x:v>Precommitted search target; hiring and role eligibility to verify</x:v>
      </x:c>
    </x:row>
    <x:row r="98" ht="15" hidden="0" customHeight="1">
      <x:c r="A98" s="3" t="str">
        <x:v>G097</x:v>
      </x:c>
      <x:c r="B98" s="3" t="str">
        <x:v>Unifonic</x:v>
      </x:c>
      <x:c r="C98" s="3" t="str">
        <x:v>Gulf</x:v>
      </x:c>
      <x:c r="D98" s="3" t="str">
        <x:v>Saudi Arabia</x:v>
      </x:c>
      <x:c r="E98" s="3" t="str">
        <x:v>Saudi Arabia</x:v>
      </x:c>
      <x:c r="F98" s="8" t="str"/>
      <x:c r="G98" s="3" t="str"/>
      <x:c r="H98" s="3" t="str"/>
      <x:c r="I98" s="3" t="str">
        <x:v>Precommitted search target; hiring and role eligibility to verify</x:v>
      </x:c>
    </x:row>
    <x:row r="99" ht="15" hidden="0" customHeight="1">
      <x:c r="A99" s="3" t="str">
        <x:v>G098</x:v>
      </x:c>
      <x:c r="B99" s="3" t="str">
        <x:v>Mozn</x:v>
      </x:c>
      <x:c r="C99" s="3" t="str">
        <x:v>Gulf</x:v>
      </x:c>
      <x:c r="D99" s="3" t="str">
        <x:v>Saudi Arabia</x:v>
      </x:c>
      <x:c r="E99" s="3" t="str">
        <x:v>Saudi Arabia</x:v>
      </x:c>
      <x:c r="F99" s="8" t="str"/>
      <x:c r="G99" s="3" t="str"/>
      <x:c r="H99" s="3" t="str"/>
      <x:c r="I99" s="3" t="str">
        <x:v>Precommitted search target; hiring and role eligibility to verify</x:v>
      </x:c>
    </x:row>
    <x:row r="100" ht="15" hidden="0" customHeight="1">
      <x:c r="A100" s="3" t="str">
        <x:v>G099</x:v>
      </x:c>
      <x:c r="B100" s="3" t="str">
        <x:v>Rasan</x:v>
      </x:c>
      <x:c r="C100" s="3" t="str">
        <x:v>Gulf</x:v>
      </x:c>
      <x:c r="D100" s="3" t="str">
        <x:v>Saudi Arabia</x:v>
      </x:c>
      <x:c r="E100" s="3" t="str">
        <x:v>Saudi Arabia</x:v>
      </x:c>
      <x:c r="F100" s="8" t="str"/>
      <x:c r="G100" s="3" t="str"/>
      <x:c r="H100" s="3" t="str"/>
      <x:c r="I100" s="3" t="str">
        <x:v>Precommitted search target; hiring and role eligibility to verify</x:v>
      </x:c>
    </x:row>
    <x:row r="101" ht="15" hidden="0" customHeight="1">
      <x:c r="A101" s="3" t="str">
        <x:v>G100</x:v>
      </x:c>
      <x:c r="B101" s="3" t="str">
        <x:v>Jahez</x:v>
      </x:c>
      <x:c r="C101" s="3" t="str">
        <x:v>Gulf</x:v>
      </x:c>
      <x:c r="D101" s="3" t="str">
        <x:v>Saudi Arabia</x:v>
      </x:c>
      <x:c r="E101" s="3" t="str">
        <x:v>Saudi Arabia</x:v>
      </x:c>
      <x:c r="F101" s="8" t="str"/>
      <x:c r="G101" s="3" t="str"/>
      <x:c r="H101" s="3" t="str"/>
      <x:c r="I101" s="3" t="str">
        <x:v>Precommitted search target; hiring and role eligibility to verify</x:v>
      </x:c>
    </x:row>
  </x:sheetData>
  <x:pageMargins left="0.7" right="0.7" top="0.75" bottom="0.75" header="0.3" footer="0.3"/>
  <x:tableParts count="1">
    <x:tablePart xmlns:r="http://schemas.openxmlformats.org/officeDocument/2006/relationships" r:id="R2cd9fb919bee49b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  <x:row r="2" ht="60" hidden="0" customHeight="1">
      <x:c r="A2" s="3" t="str">
        <x:v>CG-001</x:v>
      </x:c>
      <x:c r="B2" s="3" t="str">
        <x:v>G047</x:v>
      </x:c>
      <x:c r="C2" s="3" t="str">
        <x:v>India</x:v>
      </x:c>
      <x:c r="D2" s="3" t="str">
        <x:v>India</x:v>
      </x:c>
      <x:c r="E2" s="3" t="str">
        <x:v>Bengaluru; remote-India</x:v>
      </x:c>
      <x:c r="F2" s="3" t="str">
        <x:v>JumpCloud</x:v>
      </x:c>
      <x:c r="G2" s="3" t="str">
        <x:v>Senior Software Engineer, Authorization - India</x:v>
      </x:c>
      <x:c r="H2" s="3" t="str">
        <x:v>0c72f8ee-8074-4d46-ba36-5217fba8cfa6</x:v>
      </x:c>
      <x:c r="I2" s="3" t="str">
        <x:v>https://jobs.lever.co/jumpcloud/0c72f8ee-8074-4d46-ba36-5217fba8cfa6?gh_src=Foundry+job+board&amp;utm_medium=getro.com&amp;utm_source=Foundry+job+board</x:v>
      </x:c>
      <x:c r="J2" s="3" t="str">
        <x:v>board</x:v>
      </x:c>
      <x:c r="K2" s="8" t="d">
        <x:v>2026-10-27T00:00:00.000Z</x:v>
      </x:c>
      <x:c r="L2" s="8" t="d">
        <x:v>2026-10-22T00:00:00.000Z</x:v>
      </x:c>
      <x:c r="M2" s="3" t="str">
        <x:v>open</x:v>
      </x:c>
      <x:c r="N2" s="3" t="str">
        <x:v>Build authorization services, automated tests and delivery safeguards for a shared identity platform.</x:v>
      </x:c>
      <x:c r="O2" s="3" t="str">
        <x:v>most</x:v>
      </x:c>
      <x:c r="P2" s="3" t="str">
        <x:v>Senior</x:v>
      </x:c>
      <x:c r="Q2" s="3" t="str">
        <x:v>8+ years programming</x:v>
      </x:c>
      <x:c r="R2" s="3" t="str">
        <x:v>One of Go; NodeJS; Python</x:v>
      </x:c>
      <x:c r="S2" s="3" t="str">
        <x:v>VueJS willingness to learn</x:v>
      </x:c>
      <x:c r="T2" s="3" t="str">
        <x:v>Identity protocols (capability); distributed services (capability); automated testing (capability); Terraform (product); cloud concepts (capability)</x:v>
      </x:c>
      <x:c r="U2" s="3" t="str">
        <x:v>none</x:v>
      </x:c>
      <x:c r="V2" s="3" t="str">
        <x:v>a</x:v>
      </x:c>
      <x:c r="W2" s="3" t="str">
        <x:v>8+ years programming; delivery of complex production software</x:v>
      </x:c>
      <x:c r="X2" s="3" t="str">
        <x:v>Built GetMyUni; recent implementation fluency still being rebuilt; comparable production ownership not established (per plan s2, Om to confirm)</x:v>
      </x:c>
      <x:c r="Y2" s="3" t="str">
        <x:v>Remote within India; on-call required</x:v>
      </x:c>
      <x:c r="Z2" s="3" t="str">
        <x:v>unknown</x:v>
      </x:c>
      <x:c r="AA2" s="3" t="str">
        <x:v>n/a</x:v>
      </x:c>
      <x:c r="AB2" s="3" t="str">
        <x:v>n/a</x:v>
      </x:c>
      <x:c r="AC2" s="3" t="str">
        <x:v>n/a</x:v>
      </x:c>
      <x:c r="AD2" s="3" t="str">
        <x:v>n/a</x:v>
      </x:c>
      <x:c r="AE2" s="3" t="str">
        <x:v>n/a</x:v>
      </x:c>
      <x:c r="AF2" s="3" t="str">
        <x:v>n/a</x:v>
      </x:c>
      <x:c r="AG2" s="3" t="str">
        <x:v>none</x:v>
      </x:c>
      <x:c r="AH2" s="3" t="str">
        <x:v>AI code generation; test generation; dependency tracing</x:v>
      </x:c>
      <x:c r="AI2" s="3" t="str">
        <x:v>none</x:v>
      </x:c>
      <x:c r="AJ2" s="3" t="str">
        <x:v>none</x:v>
      </x:c>
      <x:c r="AK2" s="3" t="str">
        <x:v>cloud concepts required; vendor not stated</x:v>
      </x:c>
      <x:c r="AL2" s="3" t="str">
        <x:v>required</x:v>
      </x:c>
      <x:c r="AM2" s="3" t="str">
        <x:v>none</x:v>
      </x:c>
      <x:c r="AN2" s="3" t="str">
        <x:v>Lane a: Python is an accepted backend language; no Kubernetes claim. Build most: service development dominates duties. AI none: coding assistants, not AI product infrastructure. Posted date from https://jobs.foundry.vc/companies/jumpcloud/jobs/97800067-senior-software-engineer-authorization-india; live matching employer page read.</x:v>
      </x:c>
    </x:row>
    <x:row r="3" ht="48" hidden="0" customHeight="1">
      <x:c r="A3" s="3" t="str">
        <x:v>CG-002</x:v>
      </x:c>
      <x:c r="B3" s="3" t="str">
        <x:v>G048</x:v>
      </x:c>
      <x:c r="C3" s="3" t="str">
        <x:v>India</x:v>
      </x:c>
      <x:c r="D3" s="3" t="str">
        <x:v>India</x:v>
      </x:c>
      <x:c r="E3" s="3" t="str">
        <x:v>unknown</x:v>
      </x:c>
      <x:c r="F3" s="3" t="str">
        <x:v>Ping Identity</x:v>
      </x:c>
      <x:c r="G3" s="3" t="str">
        <x:v>Senior Software Engineer</x:v>
      </x:c>
      <x:c r="H3" s="3" t="str">
        <x:v>8867834002</x:v>
      </x:c>
      <x:c r="I3" s="3" t="str">
        <x:v>https://job-boards.greenhouse.io/pingidentity/jobs/8867834002?gh_src=remotejobshub.app</x:v>
      </x:c>
      <x:c r="J3" s="3" t="str">
        <x:v>board</x:v>
      </x:c>
      <x:c r="K3" s="8" t="d">
        <x:v>2026-10-27T00:00:00.000Z</x:v>
      </x:c>
      <x:c r="L3" s="8" t="d">
        <x:v>2026-10-09T00:00:00.000Z</x:v>
      </x:c>
      <x:c r="M3" s="3" t="str">
        <x:v>open</x:v>
      </x:c>
      <x:c r="N3" s="3" t="str">
        <x:v>Build Go APIs and message-oriented components for distributed identity services.</x:v>
      </x:c>
      <x:c r="O3" s="3" t="str">
        <x:v>most</x:v>
      </x:c>
      <x:c r="P3" s="3" t="str">
        <x:v>Senior</x:v>
      </x:c>
      <x:c r="Q3" s="3" t="str">
        <x:v>5+ years software development</x:v>
      </x:c>
      <x:c r="R3" s="3" t="str">
        <x:v>Go</x:v>
      </x:c>
      <x:c r="S3" s="3" t="str">
        <x:v>C; C++ also considered</x:v>
      </x:c>
      <x:c r="T3" s="3" t="str">
        <x:v>Backend APIs (capability); microservices (capability); distributed systems (capability); cloud SDKs (capability); container orchestration (capability); Kubernetes or Nomad or Mesos or OpenShift (product)</x:v>
      </x:c>
      <x:c r="U3" s="3" t="str">
        <x:v>none</x:v>
      </x:c>
      <x:c r="V3" s="3" t="str">
        <x:v>b</x:v>
      </x:c>
      <x:c r="W3" s="3" t="str">
        <x:v>none</x:v>
      </x:c>
      <x:c r="X3" s="3" t="str">
        <x:v>none</x:v>
      </x:c>
      <x:c r="Y3" s="3" t="str">
        <x:v>Remote within India</x:v>
      </x:c>
      <x:c r="Z3" s="3" t="str">
        <x:v>unknown</x:v>
      </x:c>
      <x:c r="AA3" s="3" t="str">
        <x:v>n/a</x:v>
      </x:c>
      <x:c r="AB3" s="3" t="str">
        <x:v>n/a</x:v>
      </x:c>
      <x:c r="AC3" s="3" t="str">
        <x:v>n/a</x:v>
      </x:c>
      <x:c r="AD3" s="3" t="str">
        <x:v>n/a</x:v>
      </x:c>
      <x:c r="AE3" s="3" t="str">
        <x:v>n/a</x:v>
      </x:c>
      <x:c r="AF3" s="3" t="str">
        <x:v>n/a</x:v>
      </x:c>
      <x:c r="AG3" s="3" t="str">
        <x:v>none</x:v>
      </x:c>
      <x:c r="AH3" s="3" t="str">
        <x:v>none</x:v>
      </x:c>
      <x:c r="AI3" s="3" t="str">
        <x:v>none</x:v>
      </x:c>
      <x:c r="AJ3" s="3" t="str">
        <x:v>none</x:v>
      </x:c>
      <x:c r="AK3" s="3" t="str">
        <x:v>AWS or GCP or Azure required</x:v>
      </x:c>
      <x:c r="AL3" s="3" t="str">
        <x:v>none</x:v>
      </x:c>
      <x:c r="AM3" s="3" t="str">
        <x:v>none</x:v>
      </x:c>
      <x:c r="AN3" s="3" t="str">
        <x:v>Lane b: Go services and container platform experience. Build most: API and middleware implementation. AI none: no AI duties. B.E/B.Tech stated; BCA acceptance unknown. Posted date from https://himalayas.app/companies/ping-identity/jobs/senior-software-engineer; employer page live. Five development years do not state a separate production-history screen.</x:v>
      </x:c>
    </x:row>
    <x:row r="4" ht="60" hidden="0" customHeight="1">
      <x:c r="A4" s="3" t="str">
        <x:v>CG-003</x:v>
      </x:c>
      <x:c r="B4" s="3" t="str">
        <x:v>G029</x:v>
      </x:c>
      <x:c r="C4" s="3" t="str">
        <x:v>India</x:v>
      </x:c>
      <x:c r="D4" s="3" t="str">
        <x:v>India</x:v>
      </x:c>
      <x:c r="E4" s="3" t="str">
        <x:v>Bengaluru</x:v>
      </x:c>
      <x:c r="F4" s="3" t="str">
        <x:v>Kong</x:v>
      </x:c>
      <x:c r="G4" s="3" t="str">
        <x:v>Senior Software Engineer</x:v>
      </x:c>
      <x:c r="H4" s="3" t="str">
        <x:v>1b9c52d7-d90a-44a1-b61e-52a9ec88e197</x:v>
      </x:c>
      <x:c r="I4" s="3" t="str">
        <x:v>https://jobs.ashbyhq.com/kong/1b9c52d7-d90a-44a1-b61e-52a9ec88e197/application</x:v>
      </x:c>
      <x:c r="J4" s="3" t="str">
        <x:v>board</x:v>
      </x:c>
      <x:c r="K4" s="8" t="d">
        <x:v>2026-10-27T00:00:00.000Z</x:v>
      </x:c>
      <x:c r="L4" s="8" t="d">
        <x:v>2026-10-13T00:00:00.000Z</x:v>
      </x:c>
      <x:c r="M4" s="3" t="str">
        <x:v>open</x:v>
      </x:c>
      <x:c r="N4" s="3" t="str">
        <x:v>Build Go state-diff engines, SDKs, CLI tooling and Terraform provider integrations.</x:v>
      </x:c>
      <x:c r="O4" s="3" t="str">
        <x:v>most</x:v>
      </x:c>
      <x:c r="P4" s="3" t="str">
        <x:v>Senior</x:v>
      </x:c>
      <x:c r="Q4" s="3" t="str">
        <x:v>5+ years</x:v>
      </x:c>
      <x:c r="R4" s="3" t="str">
        <x:v>Go</x:v>
      </x:c>
      <x:c r="S4" s="3" t="str">
        <x:v>none</x:v>
      </x:c>
      <x:c r="T4" s="3" t="str">
        <x:v>API design (capability); testing (capability); Terraform provider development or Kubernetes operators or stateful CI/CD (capability); Go (product)</x:v>
      </x:c>
      <x:c r="U4" s="3" t="str">
        <x:v>none</x:v>
      </x:c>
      <x:c r="V4" s="3" t="str">
        <x:v>b</x:v>
      </x:c>
      <x:c r="W4" s="3" t="str">
        <x:v>5+ years delivering production backend systems and Go tooling</x:v>
      </x:c>
      <x:c r="X4" s="3" t="str">
        <x:v>Go implementation fluency being rebuilt; comparable production Go ownership not established (per plan s2, Om to confirm)</x:v>
      </x:c>
      <x:c r="Y4" s="3" t="str">
        <x:v>unknown</x:v>
      </x:c>
      <x:c r="Z4" s="3" t="str">
        <x:v>unknown</x:v>
      </x:c>
      <x:c r="AA4" s="3" t="str">
        <x:v>n/a</x:v>
      </x:c>
      <x:c r="AB4" s="3" t="str">
        <x:v>n/a</x:v>
      </x:c>
      <x:c r="AC4" s="3" t="str">
        <x:v>n/a</x:v>
      </x:c>
      <x:c r="AD4" s="3" t="str">
        <x:v>n/a</x:v>
      </x:c>
      <x:c r="AE4" s="3" t="str">
        <x:v>n/a</x:v>
      </x:c>
      <x:c r="AF4" s="3" t="str">
        <x:v>n/a</x:v>
      </x:c>
      <x:c r="AG4" s="3" t="str">
        <x:v>none</x:v>
      </x:c>
      <x:c r="AH4" s="3" t="str">
        <x:v>none</x:v>
      </x:c>
      <x:c r="AI4" s="3" t="str">
        <x:v>none</x:v>
      </x:c>
      <x:c r="AJ4" s="3" t="str">
        <x:v>none</x:v>
      </x:c>
      <x:c r="AK4" s="3" t="str">
        <x:v>none</x:v>
      </x:c>
      <x:c r="AL4" s="3" t="str">
        <x:v>required</x:v>
      </x:c>
      <x:c r="AM4" s="3" t="str">
        <x:v>required</x:v>
      </x:c>
      <x:c r="AN4" s="3" t="str">
        <x:v>Lane b and build most: Go platform tooling dominates. Terraform and operators are alternatives in a required experience clause, not both individually mandatory. AI none: company marketing only. Date and readable JD: https://www.codingjobboard.com/job/senior-software-engineer-at-kong-others/24760. Linked employer application is a JavaScript shell; board has live Apply.</x:v>
      </x:c>
    </x:row>
    <x:row r="5" ht="60" hidden="0" customHeight="1">
      <x:c r="A5" s="3" t="str">
        <x:v>CG-004</x:v>
      </x:c>
      <x:c r="B5" s="3" t="str">
        <x:v>G041</x:v>
      </x:c>
      <x:c r="C5" s="3" t="str">
        <x:v>India</x:v>
      </x:c>
      <x:c r="D5" s="3" t="str">
        <x:v>India</x:v>
      </x:c>
      <x:c r="E5" s="3" t="str">
        <x:v>Pune</x:v>
      </x:c>
      <x:c r="F5" s="3" t="str">
        <x:v>Fortinet</x:v>
      </x:c>
      <x:c r="G5" s="3" t="str">
        <x:v>Staff Software Development Engineer</x:v>
      </x:c>
      <x:c r="H5" s="3" t="str">
        <x:v>unknown</x:v>
      </x:c>
      <x:c r="I5" s="3" t="str">
        <x:v>https://builtin.com/job/staff-software-development-engineer/11882042</x:v>
      </x:c>
      <x:c r="J5" s="3" t="str">
        <x:v>board</x:v>
      </x:c>
      <x:c r="K5" s="8" t="d">
        <x:v>2026-10-27T00:00:00.000Z</x:v>
      </x:c>
      <x:c r="L5" s="8" t="d">
        <x:v>2026-10-26T00:00:00.000Z</x:v>
      </x:c>
      <x:c r="M5" s="3" t="str">
        <x:v>open</x:v>
      </x:c>
      <x:c r="N5" s="3" t="str">
        <x:v>Design Python backend services and reusable software for distributed data processing.</x:v>
      </x:c>
      <x:c r="O5" s="3" t="str">
        <x:v>most</x:v>
      </x:c>
      <x:c r="P5" s="3" t="str">
        <x:v>Staff</x:v>
      </x:c>
      <x:c r="Q5" s="3" t="str">
        <x:v>9 to 12 years</x:v>
      </x:c>
      <x:c r="R5" s="3" t="str">
        <x:v>Python</x:v>
      </x:c>
      <x:c r="S5" s="3" t="str">
        <x:v>none</x:v>
      </x:c>
      <x:c r="T5" s="3" t="str">
        <x:v>Backend APIs (capability); distributed systems (capability); data ingestion (capability); SQL and NoSQL (capability); FastAPI or similar (product)</x:v>
      </x:c>
      <x:c r="U5" s="3" t="str">
        <x:v>Machine learning (capability); LLMs (capability); vector search (capability); event-driven data platforms (capability)</x:v>
      </x:c>
      <x:c r="V5" s="3" t="str">
        <x:v>a</x:v>
      </x:c>
      <x:c r="W5" s="3" t="str">
        <x:v>Track record shipping production-grade systems</x:v>
      </x:c>
      <x:c r="X5" s="3" t="str">
        <x:v>Built GetMyUni; comparable production systems history not established in plan (per plan s2, Om to confirm)</x:v>
      </x:c>
      <x:c r="Y5" s="3" t="str">
        <x:v>In-office</x:v>
      </x:c>
      <x:c r="Z5" s="3" t="str">
        <x:v>unknown</x:v>
      </x:c>
      <x:c r="AA5" s="3" t="str">
        <x:v>n/a</x:v>
      </x:c>
      <x:c r="AB5" s="3" t="str">
        <x:v>n/a</x:v>
      </x:c>
      <x:c r="AC5" s="3" t="str">
        <x:v>n/a</x:v>
      </x:c>
      <x:c r="AD5" s="3" t="str">
        <x:v>n/a</x:v>
      </x:c>
      <x:c r="AE5" s="3" t="str">
        <x:v>n/a</x:v>
      </x:c>
      <x:c r="AF5" s="3" t="str">
        <x:v>n/a</x:v>
      </x:c>
      <x:c r="AG5" s="3" t="str">
        <x:v>app</x:v>
      </x:c>
      <x:c r="AH5" s="3" t="str">
        <x:v>Machine learning; LLMs; generative AI; embeddings; vector search</x:v>
      </x:c>
      <x:c r="AI5" s="3" t="str">
        <x:v>preferred</x:v>
      </x:c>
      <x:c r="AJ5" s="3" t="str">
        <x:v>none</x:v>
      </x:c>
      <x:c r="AK5" s="3" t="str">
        <x:v>none</x:v>
      </x:c>
      <x:c r="AL5" s="3" t="str">
        <x:v>none</x:v>
      </x:c>
      <x:c r="AM5" s="3" t="str">
        <x:v>none</x:v>
      </x:c>
      <x:c r="AN5" s="3" t="str">
        <x:v>Lane a and build most: Python backend platform software. AI app: optional LLM/enrichment techniques, no GPU or model-serving duties. Built In says Posted Yesterday, read 2026-10-27; normalized to 2026-10-26, board date only. Employer original date unknown. Employer career page attempted first. Actual JD used; generated summary and benefits ignored. Bayt mirror also shows active application.</x:v>
      </x:c>
    </x:row>
    <x:row r="6" ht="48" hidden="0" customHeight="1">
      <x:c r="A6" s="3" t="str">
        <x:v>CG-005</x:v>
      </x:c>
      <x:c r="B6" s="3" t="str">
        <x:v>G050</x:v>
      </x:c>
      <x:c r="C6" s="3" t="str">
        <x:v>India</x:v>
      </x:c>
      <x:c r="D6" s="3" t="str">
        <x:v>India</x:v>
      </x:c>
      <x:c r="E6" s="3" t="str">
        <x:v>Bengaluru</x:v>
      </x:c>
      <x:c r="F6" s="3" t="str">
        <x:v>Fivetran</x:v>
      </x:c>
      <x:c r="G6" s="3" t="str">
        <x:v>Senior Software Engineer</x:v>
      </x:c>
      <x:c r="H6" s="3" t="str">
        <x:v>7787913003</x:v>
      </x:c>
      <x:c r="I6" s="3" t="str">
        <x:v>https://www.fivetran.com/careers/job?gh_jid=7787913003</x:v>
      </x:c>
      <x:c r="J6" s="3" t="str">
        <x:v>board</x:v>
      </x:c>
      <x:c r="K6" s="8" t="d">
        <x:v>2026-10-27T00:00:00.000Z</x:v>
      </x:c>
      <x:c r="L6" s="8" t="d">
        <x:v>2026-10-07T00:00:00.000Z</x:v>
      </x:c>
      <x:c r="M6" s="3" t="str">
        <x:v>open</x:v>
      </x:c>
      <x:c r="N6" s="3" t="str">
        <x:v>Build MetricFlow query compilation and semantic-layer features; maintain its open-source implementation.</x:v>
      </x:c>
      <x:c r="O6" s="3" t="str">
        <x:v>most</x:v>
      </x:c>
      <x:c r="P6" s="3" t="str">
        <x:v>Senior</x:v>
      </x:c>
      <x:c r="Q6" s="3" t="str">
        <x:v>unknown</x:v>
      </x:c>
      <x:c r="R6" s="3" t="str">
        <x:v>Python; SQL</x:v>
      </x:c>
      <x:c r="S6" s="3" t="str">
        <x:v>none</x:v>
      </x:c>
      <x:c r="T6" s="3" t="str">
        <x:v>Query compilation (capability); software design (capability); Python (product); SQL (product)</x:v>
      </x:c>
      <x:c r="U6" s="3" t="str">
        <x:v>Open-source maintenance (capability); query optimization (capability); dbt (product); MetricFlow (product); GitHub Actions (product)</x:v>
      </x:c>
      <x:c r="V6" s="3" t="str">
        <x:v>d</x:v>
      </x:c>
      <x:c r="W6" s="3" t="str">
        <x:v>Track record shipping production systems</x:v>
      </x:c>
      <x:c r="X6" s="3" t="str">
        <x:v>Built GetMyUni; comparable data-platform production ownership not established (per plan s2, Om to confirm)</x:v>
      </x:c>
      <x:c r="Y6" s="3" t="str">
        <x:v>unknown</x:v>
      </x:c>
      <x:c r="Z6" s="3" t="str">
        <x:v>unknown</x:v>
      </x:c>
      <x:c r="AA6" s="3" t="str">
        <x:v>n/a</x:v>
      </x:c>
      <x:c r="AB6" s="3" t="str">
        <x:v>n/a</x:v>
      </x:c>
      <x:c r="AC6" s="3" t="str">
        <x:v>n/a</x:v>
      </x:c>
      <x:c r="AD6" s="3" t="str">
        <x:v>n/a</x:v>
      </x:c>
      <x:c r="AE6" s="3" t="str">
        <x:v>n/a</x:v>
      </x:c>
      <x:c r="AF6" s="3" t="str">
        <x:v>n/a</x:v>
      </x:c>
      <x:c r="AG6" s="3" t="str">
        <x:v>none</x:v>
      </x:c>
      <x:c r="AH6" s="3" t="str">
        <x:v>none</x:v>
      </x:c>
      <x:c r="AI6" s="3" t="str">
        <x:v>none</x:v>
      </x:c>
      <x:c r="AJ6" s="3" t="str">
        <x:v>none</x:v>
      </x:c>
      <x:c r="AK6" s="3" t="str">
        <x:v>none</x:v>
      </x:c>
      <x:c r="AL6" s="3" t="str">
        <x:v>none</x:v>
      </x:c>
      <x:c r="AM6" s="3" t="str">
        <x:v>none</x:v>
      </x:c>
      <x:c r="AN6" s="3" t="str">
        <x:v>Lane d and build most: semantic engine implementation, not DBA work. AI none: agents are downstream consumers, not duties. Date and full JD: https://jobs.a16z.com/jobs/fivetran/7787913003--senior-software-engineer. Primary career URL recovered from matching Employbl mirror; no pay or year minimum stated.</x:v>
      </x:c>
    </x:row>
    <x:row r="7" ht="60" hidden="0" customHeight="1">
      <x:c r="A7" s="3" t="str">
        <x:v>CG-006</x:v>
      </x:c>
      <x:c r="B7" s="3" t="str">
        <x:v>G059</x:v>
      </x:c>
      <x:c r="C7" s="3" t="str">
        <x:v>Europe</x:v>
      </x:c>
      <x:c r="D7" s="3" t="str">
        <x:v>Netherlands</x:v>
      </x:c>
      <x:c r="E7" s="3" t="str">
        <x:v>Amsterdam</x:v>
      </x:c>
      <x:c r="F7" s="3" t="str">
        <x:v>Stream</x:v>
      </x:c>
      <x:c r="G7" s="3" t="str">
        <x:v>Staff Software Engineer, Backend</x:v>
      </x:c>
      <x:c r="H7" s="3" t="str">
        <x:v>7c17d265-2eff-4a1f-97dd-c0e55b218068</x:v>
      </x:c>
      <x:c r="I7" s="3" t="str">
        <x:v>https://jobs.ashbyhq.com/stream/7c17d265-2eff-4a1f-97dd-c0e55b218068</x:v>
      </x:c>
      <x:c r="J7" s="3" t="str">
        <x:v>board</x:v>
      </x:c>
      <x:c r="K7" s="8" t="d">
        <x:v>2026-10-27T00:00:00.000Z</x:v>
      </x:c>
      <x:c r="L7" s="8" t="d">
        <x:v>2026-10-22T00:00:00.000Z</x:v>
      </x:c>
      <x:c r="M7" s="3" t="str">
        <x:v>open</x:v>
      </x:c>
      <x:c r="N7" s="3" t="str">
        <x:v>Own and scale shared chat and activity-feed backends, database paths and public APIs.</x:v>
      </x:c>
      <x:c r="O7" s="3" t="str">
        <x:v>most</x:v>
      </x:c>
      <x:c r="P7" s="3" t="str">
        <x:v>Staff</x:v>
      </x:c>
      <x:c r="Q7" s="3" t="str">
        <x:v>Extensive; no numeric minimum in full mirrored JD</x:v>
      </x:c>
      <x:c r="R7" s="3" t="str">
        <x:v>Go or Python or another backend language with willingness to switch to Go</x:v>
      </x:c>
      <x:c r="S7" s="3" t="str">
        <x:v>none</x:v>
      </x:c>
      <x:c r="T7" s="3" t="str">
        <x:v>Backend scaling (capability); API or SDK design (capability); relational databases (capability); Kubernetes (product); Redis or similar (product)</x:v>
      </x:c>
      <x:c r="U7" s="3" t="str">
        <x:v>Distributed storage internals (capability); PostgreSQL (product); gRPC (product); RabbitMQ or Kafka (product)</x:v>
      </x:c>
      <x:c r="V7" s="3" t="str">
        <x:v>b</x:v>
      </x:c>
      <x:c r="W7" s="3" t="str">
        <x:v>Technical leadership on production backend systems</x:v>
      </x:c>
      <x:c r="X7" s="3" t="str">
        <x:v>Built GetMyUni; Go beginner with no Go written at CDP in plan (per plan s2, Om to confirm)</x:v>
      </x:c>
      <x:c r="Y7" s="3" t="str">
        <x:v>Amsterdam office; remote EU considered</x:v>
      </x:c>
      <x:c r="Z7" s="3" t="str">
        <x:v>unknown</x:v>
      </x:c>
      <x:c r="AA7" s="3" t="str">
        <x:v>English is the working language</x:v>
      </x:c>
      <x:c r="AB7" s="3" t="str">
        <x:v>unknown</x:v>
      </x:c>
      <x:c r="AC7" s="3" t="str">
        <x:v>unknown</x:v>
      </x:c>
      <x:c r="AD7" s="3" t="str">
        <x:v>unknown</x:v>
      </x:c>
      <x:c r="AE7" s="3" t="str">
        <x:v>Amsterdam; relocation support possible; remote EU also considered</x:v>
      </x:c>
      <x:c r="AF7" s="3" t="str">
        <x:v>unknown</x:v>
      </x:c>
      <x:c r="AG7" s="3" t="str">
        <x:v>none</x:v>
      </x:c>
      <x:c r="AH7" s="3" t="str">
        <x:v>none</x:v>
      </x:c>
      <x:c r="AI7" s="3" t="str">
        <x:v>none</x:v>
      </x:c>
      <x:c r="AJ7" s="3" t="str">
        <x:v>none</x:v>
      </x:c>
      <x:c r="AK7" s="3" t="str">
        <x:v>GCP or AWS preferred</x:v>
      </x:c>
      <x:c r="AL7" s="3" t="str">
        <x:v>none</x:v>
      </x:c>
      <x:c r="AM7" s="3" t="str">
        <x:v>none</x:v>
      </x:c>
      <x:c r="AN7" s="3" t="str">
        <x:v>Lane b and build most: Go-capable shared backend and Kubernetes work. AI none: moderation is company context, this role is Chat/Feeds. Full JD: https://www.landthatrole.com/job/ab-stream-7c17d265-2eff-4a1f-97dd-c0e55b218068. Date: https://jobs.trythestack.co/jobs/staff-software-engineer-backend-stream. Employer ATS is JS-only. India eligibility unknown; explicit relocation makes consideration plausible, not confirmed.</x:v>
      </x:c>
    </x:row>
    <x:row r="8" ht="48" hidden="0" customHeight="1">
      <x:c r="A8" s="3" t="str">
        <x:v>CG-007</x:v>
      </x:c>
      <x:c r="B8" s="3" t="str">
        <x:v>G069</x:v>
      </x:c>
      <x:c r="C8" s="3" t="str">
        <x:v>Europe</x:v>
      </x:c>
      <x:c r="D8" s="3" t="str">
        <x:v>Ireland</x:v>
      </x:c>
      <x:c r="E8" s="3" t="str">
        <x:v>Dublin</x:v>
      </x:c>
      <x:c r="F8" s="3" t="str">
        <x:v>Toast</x:v>
      </x:c>
      <x:c r="G8" s="3" t="str">
        <x:v>Senior Software Engineer, Application Infrastructure</x:v>
      </x:c>
      <x:c r="H8" s="3" t="str">
        <x:v>R15265</x:v>
      </x:c>
      <x:c r="I8" s="3" t="str">
        <x:v>https://careers.toasttab.com/jobs/senior-software-engineer-application-infrastructure-dublin-county-dublin-ireland</x:v>
      </x:c>
      <x:c r="J8" s="3" t="str">
        <x:v>board</x:v>
      </x:c>
      <x:c r="K8" s="8" t="d">
        <x:v>2026-10-27T00:00:00.000Z</x:v>
      </x:c>
      <x:c r="L8" s="8" t="d">
        <x:v>2026-10-06T00:00:00.000Z</x:v>
      </x:c>
      <x:c r="M8" s="3" t="str">
        <x:v>open</x:v>
      </x:c>
      <x:c r="N8" s="3" t="str">
        <x:v>Build shared services, event infrastructure and developer scheduling services; improve distributed performance.</x:v>
      </x:c>
      <x:c r="O8" s="3" t="str">
        <x:v>most</x:v>
      </x:c>
      <x:c r="P8" s="3" t="str">
        <x:v>Senior</x:v>
      </x:c>
      <x:c r="Q8" s="3" t="str">
        <x:v>unknown</x:v>
      </x:c>
      <x:c r="R8" s="3" t="str">
        <x:v>Modern programming language; no single language mandatory</x:v>
      </x:c>
      <x:c r="S8" s="3" t="str">
        <x:v>Java or Kotlin preferred; Go in team stack</x:v>
      </x:c>
      <x:c r="T8" s="3" t="str">
        <x:v>Distributed cloud systems (capability); event-driven architecture (capability); APIs (capability); software delivery (capability)</x:v>
      </x:c>
      <x:c r="U8" s="3" t="str">
        <x:v>Java or Kotlin (product)</x:v>
      </x:c>
      <x:c r="V8" s="3" t="str">
        <x:v>b</x:v>
      </x:c>
      <x:c r="W8" s="3" t="str">
        <x:v>Building and operating mission-critical distributed cloud systems</x:v>
      </x:c>
      <x:c r="X8" s="3" t="str">
        <x:v>Built GetMyUni; comparable high-scale production ownership not established (per plan s2, Om to confirm)</x:v>
      </x:c>
      <x:c r="Y8" s="3" t="str">
        <x:v>Hybrid</x:v>
      </x:c>
      <x:c r="Z8" s="3" t="str">
        <x:v>unknown</x:v>
      </x:c>
      <x:c r="AA8" s="3" t="str">
        <x:v>unknown</x:v>
      </x:c>
      <x:c r="AB8" s="3" t="str">
        <x:v>unknown</x:v>
      </x:c>
      <x:c r="AC8" s="3" t="str">
        <x:v>unknown</x:v>
      </x:c>
      <x:c r="AD8" s="3" t="str">
        <x:v>unknown</x:v>
      </x:c>
      <x:c r="AE8" s="3" t="str">
        <x:v>Dublin; hybrid</x:v>
      </x:c>
      <x:c r="AF8" s="3" t="str">
        <x:v>unknown</x:v>
      </x:c>
      <x:c r="AG8" s="3" t="str">
        <x:v>none</x:v>
      </x:c>
      <x:c r="AH8" s="3" t="str">
        <x:v>none</x:v>
      </x:c>
      <x:c r="AI8" s="3" t="str">
        <x:v>none</x:v>
      </x:c>
      <x:c r="AJ8" s="3" t="str">
        <x:v>none</x:v>
      </x:c>
      <x:c r="AK8" s="3" t="str">
        <x:v>AWS in team stack; public-cloud systems experience required</x:v>
      </x:c>
      <x:c r="AL8" s="3" t="str">
        <x:v>none</x:v>
      </x:c>
      <x:c r="AM8" s="3" t="str">
        <x:v>none</x:v>
      </x:c>
      <x:c r="AN8" s="3" t="str">
        <x:v>Lane b and build most: shared Go-capable infrastructure software. No mandatory Java/Kotlin; both preferred. Terraform is team tooling, not an explicit candidate requirement. AI none: development aids only. Date: https://nextleveljobs.eu/companies/toast/jobs/6ac52471d1d3d43d9a39f3d6; matching employer JD live. English work and India eligibility not explicitly established.</x:v>
      </x:c>
    </x:row>
    <x:row r="9" ht="48" hidden="0" customHeight="1">
      <x:c r="A9" s="3" t="str">
        <x:v>CG-008</x:v>
      </x:c>
      <x:c r="B9" s="3" t="str">
        <x:v>G073</x:v>
      </x:c>
      <x:c r="C9" s="3" t="str">
        <x:v>Europe</x:v>
      </x:c>
      <x:c r="D9" s="3" t="str">
        <x:v>Germany</x:v>
      </x:c>
      <x:c r="E9" s="3" t="str">
        <x:v>Berlin</x:v>
      </x:c>
      <x:c r="F9" s="3" t="str">
        <x:v>HelloFresh</x:v>
      </x:c>
      <x:c r="G9" s="3" t="str">
        <x:v>Senior Data Platform Engineer, Intelligent Platforms (all genders)</x:v>
      </x:c>
      <x:c r="H9" s="3" t="str">
        <x:v>unknown</x:v>
      </x:c>
      <x:c r="I9" s="3" t="str">
        <x:v>https://germanydevjobs.com/jobs/hellofresh-senior-data-platform-engineer-intelligent-platforms-all-gend-td4wqvk</x:v>
      </x:c>
      <x:c r="J9" s="3" t="str">
        <x:v>board</x:v>
      </x:c>
      <x:c r="K9" s="8" t="d">
        <x:v>2026-10-27T00:00:00.000Z</x:v>
      </x:c>
      <x:c r="L9" s="8" t="d">
        <x:v>2026-09-04T00:00:00.000Z</x:v>
      </x:c>
      <x:c r="M9" s="3" t="str">
        <x:v>open</x:v>
      </x:c>
      <x:c r="N9" s="3" t="str">
        <x:v>Build shared streaming services, self-service database provisioning and agent-based infrastructure tooling.</x:v>
      </x:c>
      <x:c r="O9" s="3" t="str">
        <x:v>most</x:v>
      </x:c>
      <x:c r="P9" s="3" t="str">
        <x:v>Senior</x:v>
      </x:c>
      <x:c r="Q9" s="3" t="str">
        <x:v>unknown</x:v>
      </x:c>
      <x:c r="R9" s="3" t="str">
        <x:v>One backend language, examples Go; Java; Scala; Python</x:v>
      </x:c>
      <x:c r="S9" s="3" t="str">
        <x:v>none</x:v>
      </x:c>
      <x:c r="T9" s="3" t="str">
        <x:v>Production data platforms (capability); streaming systems (capability); databases (capability); Kafka (product); AWS (product); Terraform (product); Kubernetes (product)</x:v>
      </x:c>
      <x:c r="U9" s="3" t="str">
        <x:v>Self-service platforms (capability); data lakes (capability); Flink (product); Kafka Connect (product)</x:v>
      </x:c>
      <x:c r="V9" s="3" t="str">
        <x:v>d</x:v>
      </x:c>
      <x:c r="W9" s="3" t="str">
        <x:v>Building and operating production data infrastructure at scale</x:v>
      </x:c>
      <x:c r="X9" s="3" t="str">
        <x:v>Built GetMyUni; comparable data-platform production ownership not established (per plan s2, Om to confirm)</x:v>
      </x:c>
      <x:c r="Y9" s="3" t="str">
        <x:v>Hybrid in description; board header says on-site</x:v>
      </x:c>
      <x:c r="Z9" s="3" t="str">
        <x:v>unknown</x:v>
      </x:c>
      <x:c r="AA9" s="3" t="str">
        <x:v>Working language English (board)</x:v>
      </x:c>
      <x:c r="AB9" s="3" t="str">
        <x:v>German not required (board)</x:v>
      </x:c>
      <x:c r="AC9" s="3" t="str">
        <x:v>unknown</x:v>
      </x:c>
      <x:c r="AD9" s="3" t="str">
        <x:v>unknown</x:v>
      </x:c>
      <x:c r="AE9" s="3" t="str">
        <x:v>Berlin; company relocation support reported by board</x:v>
      </x:c>
      <x:c r="AF9" s="3" t="str">
        <x:v>unknown</x:v>
      </x:c>
      <x:c r="AG9" s="3" t="str">
        <x:v>app</x:v>
      </x:c>
      <x:c r="AH9" s="3" t="str">
        <x:v>AI; agent-based capabilities</x:v>
      </x:c>
      <x:c r="AI9" s="3" t="str">
        <x:v>required</x:v>
      </x:c>
      <x:c r="AJ9" s="3" t="str">
        <x:v>none</x:v>
      </x:c>
      <x:c r="AK9" s="3" t="str">
        <x:v>AWS required</x:v>
      </x:c>
      <x:c r="AL9" s="3" t="str">
        <x:v>required</x:v>
      </x:c>
      <x:c r="AM9" s="3" t="str">
        <x:v>none</x:v>
      </x:c>
      <x:c r="AN9" s="3" t="str">
        <x:v>Lane d and build most: self-service platform tooling and streaming systems, with on-call as secondary ownership. AI app: agents for internal self-service, not model serving. Board shows date and English; employer site returned 403, not bypassed. India eligibility unknown; board company-wide relocation note is not role-specific confirmation.</x:v>
      </x:c>
    </x:row>
  </x:sheetData>
  <x:pageMargins left="0.7" right="0.7" top="0.75" bottom="0.75" header="0.3" footer="0.3"/>
  <x:tableParts count="1">
    <x:tablePart xmlns:r="http://schemas.openxmlformats.org/officeDocument/2006/relationships" r:id="Rd3cf59930e36428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34" hidden="0" customWidth="1"/>
    <x:col min="4" max="4" width="65" hidden="0" customWidth="1"/>
    <x:col min="5" max="5" width="22" hidden="0" customWidth="1"/>
    <x:col min="6" max="6" width="65" hidden="0" customWidth="1"/>
  </x:cols>
  <x:sheetData>
    <x:row r="1" ht="40" customHeight="1">
      <x:c r="A1" s="6" t="str">
        <x:v>id</x:v>
      </x:c>
      <x:c r="B1" s="6" t="str">
        <x:v>employer</x:v>
      </x:c>
      <x:c r="C1" s="6" t="str">
        <x:v>title</x:v>
      </x:c>
      <x:c r="D1" s="6" t="str">
        <x:v>url</x:v>
      </x:c>
      <x:c r="E1" s="7" t="str">
        <x:v>retrieved</x:v>
      </x:c>
      <x:c r="F1" s="6" t="str">
        <x:v>reason</x:v>
      </x:c>
    </x:row>
    <x:row r="2" ht="15" hidden="0" customHeight="1">
      <x:c r="A2" s="3" t="str">
        <x:v>EX-001</x:v>
      </x:c>
      <x:c r="B2" s="3" t="str">
        <x:v>Confluent</x:v>
      </x:c>
      <x:c r="C2" s="3" t="str">
        <x:v>unknown</x:v>
      </x:c>
      <x:c r="D2" s="3" t="str">
        <x:v>https://jobs.ashbyhq.com/confluent/37a57183-4d95-47f6-83db-e224b5013412</x:v>
      </x:c>
      <x:c r="E2" s="8" t="d">
        <x:v>2026-10-27T00:00:00.000Z</x:v>
      </x:c>
      <x:c r="F2" s="3" t="str">
        <x:v>Unreadable posting: returned JavaScript shell.</x:v>
      </x:c>
    </x:row>
    <x:row r="3" ht="15" hidden="0" customHeight="1">
      <x:c r="A3" s="3" t="str">
        <x:v>EX-002</x:v>
      </x:c>
      <x:c r="B3" s="3" t="str">
        <x:v>Redis</x:v>
      </x:c>
      <x:c r="C3" s="3" t="str">
        <x:v>unknown</x:v>
      </x:c>
      <x:c r="D3" s="3" t="str">
        <x:v>https://jobs.ashbyhq.com/Redis/f9df7895-e7c2-4c69-98fd-43a98fc65c92</x:v>
      </x:c>
      <x:c r="E3" s="8" t="d">
        <x:v>2026-10-27T00:00:00.000Z</x:v>
      </x:c>
      <x:c r="F3" s="3" t="str">
        <x:v>Unreadable posting: returned JavaScript shell.</x:v>
      </x:c>
    </x:row>
    <x:row r="4" ht="15" hidden="0" customHeight="1">
      <x:c r="A4" s="3" t="str">
        <x:v>EX-003</x:v>
      </x:c>
      <x:c r="B4" s="3" t="str">
        <x:v>Yugabyte</x:v>
      </x:c>
      <x:c r="C4" s="3" t="str">
        <x:v>unknown</x:v>
      </x:c>
      <x:c r="D4" s="3" t="str">
        <x:v>https://job-boards.greenhouse.io/yugabyte/jobs/4717014006</x:v>
      </x:c>
      <x:c r="E4" s="8" t="d">
        <x:v>2026-10-27T00:00:00.000Z</x:v>
      </x:c>
      <x:c r="F4" s="3" t="str">
        <x:v>Closed or removed: employer redirects to error=true job index.</x:v>
      </x:c>
    </x:row>
    <x:row r="5" ht="15" hidden="0" customHeight="1">
      <x:c r="A5" s="3" t="str">
        <x:v>EX-004</x:v>
      </x:c>
      <x:c r="B5" s="3" t="str">
        <x:v>Yugabyte</x:v>
      </x:c>
      <x:c r="C5" s="3" t="str">
        <x:v>Sr Software Engineer</x:v>
      </x:c>
      <x:c r="D5" s="3" t="str">
        <x:v>https://job-boards.greenhouse.io/yugabyte/jobs/4679058006</x:v>
      </x:c>
      <x:c r="E5" s="8" t="d">
        <x:v>2026-10-27T00:00:00.000Z</x:v>
      </x:c>
      <x:c r="F5" s="3" t="str">
        <x:v>Security operations duties, outside the software-building lanes.</x:v>
      </x:c>
    </x:row>
    <x:row r="6" ht="15" hidden="0" customHeight="1">
      <x:c r="A6" s="3" t="str">
        <x:v>EX-005</x:v>
      </x:c>
      <x:c r="B6" s="3" t="str">
        <x:v>Yugabyte</x:v>
      </x:c>
      <x:c r="C6" s="3" t="str">
        <x:v>Staff Engineer</x:v>
      </x:c>
      <x:c r="D6" s="3" t="str">
        <x:v>https://job-boards.greenhouse.io/yugabyte/jobs/4651617006</x:v>
      </x:c>
      <x:c r="E6" s="8" t="d">
        <x:v>2026-10-27T00:00:00.000Z</x:v>
      </x:c>
      <x:c r="F6" s="3" t="str">
        <x:v>C/C++ systems programming required.</x:v>
      </x:c>
    </x:row>
    <x:row r="7" ht="15" hidden="0" customHeight="1">
      <x:c r="A7" s="3" t="str">
        <x:v>EX-006</x:v>
      </x:c>
      <x:c r="B7" s="3" t="str">
        <x:v>Cockroach Labs</x:v>
      </x:c>
      <x:c r="C7" s="3" t="str">
        <x:v>Member of Technical Staff (Codesys)</x:v>
      </x:c>
      <x:c r="D7" s="3" t="str">
        <x:v>https://ryserapp.com/job/member-of-technical-staff-codesys-cockroach-labs-bangalore</x:v>
      </x:c>
      <x:c r="E7" s="8" t="d">
        <x:v>2026-10-27T00:00:00.000Z</x:v>
      </x:c>
      <x:c r="F7" s="3" t="str">
        <x:v>Incomplete description: dated 2026-08-28 board lead, but full employer posting not readable.</x:v>
      </x:c>
    </x:row>
    <x:row r="8" ht="15" hidden="0" customHeight="1">
      <x:c r="A8" s="3" t="str">
        <x:v>EX-007</x:v>
      </x:c>
      <x:c r="B8" s="3" t="str">
        <x:v>SingleStore</x:v>
      </x:c>
      <x:c r="C8" s="3" t="str">
        <x:v>Sr./Principal Software Engineer</x:v>
      </x:c>
      <x:c r="D8" s="3" t="str">
        <x:v>https://job-boards.greenhouse.io/singlestore/jobs/7867768</x:v>
      </x:c>
      <x:c r="E8" s="8" t="d">
        <x:v>2026-10-27T00:00:00.000Z</x:v>
      </x:c>
      <x:c r="F8" s="3" t="str">
        <x:v>Posting date unknown; cannot establish the requested 2026-07-27 cutoff.</x:v>
      </x:c>
    </x:row>
    <x:row r="9" ht="15" hidden="0" customHeight="1">
      <x:c r="A9" s="3" t="str">
        <x:v>EX-008</x:v>
      </x:c>
      <x:c r="B9" s="3" t="str">
        <x:v>ClickHouse</x:v>
      </x:c>
      <x:c r="C9" s="3" t="str">
        <x:v>unknown</x:v>
      </x:c>
      <x:c r="D9" s="3" t="str">
        <x:v>https://jobs.ashbyhq.com/clickhouse/f0495f4d-fcc2-4a55-b9d5-5e7dbf20df1d</x:v>
      </x:c>
      <x:c r="E9" s="8" t="d">
        <x:v>2026-10-27T00:00:00.000Z</x:v>
      </x:c>
      <x:c r="F9" s="3" t="str">
        <x:v>Unreadable posting: returned JavaScript shell.</x:v>
      </x:c>
    </x:row>
    <x:row r="10" ht="24" hidden="0" customHeight="1">
      <x:c r="A10" s="3" t="str">
        <x:v>EX-009</x:v>
      </x:c>
      <x:c r="B10" s="3" t="str">
        <x:v>Starburst</x:v>
      </x:c>
      <x:c r="C10" s="3" t="str">
        <x:v>Senior Systems Software Engineer, Build &amp; Delivery</x:v>
      </x:c>
      <x:c r="D10" s="3" t="str">
        <x:v>https://job-boards.greenhouse.io/starburst/jobs/5218575008</x:v>
      </x:c>
      <x:c r="E10" s="8" t="d">
        <x:v>2026-10-27T00:00:00.000Z</x:v>
      </x:c>
      <x:c r="F10" s="3" t="str">
        <x:v>Java and TypeScript development experience required.</x:v>
      </x:c>
    </x:row>
    <x:row r="11" ht="24" hidden="0" customHeight="1">
      <x:c r="A11" s="3" t="str">
        <x:v>EX-010</x:v>
      </x:c>
      <x:c r="B11" s="3" t="str">
        <x:v>StarTree</x:v>
      </x:c>
      <x:c r="C11" s="3" t="str">
        <x:v>Senior Software Engineer, Cloud Platform - INDIA</x:v>
      </x:c>
      <x:c r="D11" s="3" t="str">
        <x:v>https://job-boards.greenhouse.io/startree/jobs/6177349004</x:v>
      </x:c>
      <x:c r="E11" s="8" t="d">
        <x:v>2026-10-27T00:00:00.000Z</x:v>
      </x:c>
      <x:c r="F11" s="3" t="str">
        <x:v>Posting date unknown; mirror shows relative Today alongside Updated 01 SEP 2026, so no absolute posting date inferred.</x:v>
      </x:c>
    </x:row>
    <x:row r="12" ht="15" hidden="0" customHeight="1">
      <x:c r="A12" s="3" t="str">
        <x:v>EX-011</x:v>
      </x:c>
      <x:c r="B12" s="3" t="str">
        <x:v>StarTree</x:v>
      </x:c>
      <x:c r="C12" s="3" t="str">
        <x:v>Senior Software Engineer, Data Platform</x:v>
      </x:c>
      <x:c r="D12" s="3" t="str">
        <x:v>https://job-boards.greenhouse.io/startree/jobs/6142775004</x:v>
      </x:c>
      <x:c r="E12" s="8" t="d">
        <x:v>2026-10-27T00:00:00.000Z</x:v>
      </x:c>
      <x:c r="F12" s="3" t="str">
        <x:v>Posting date unknown; cannot establish the requested 2026-07-27 cutoff.</x:v>
      </x:c>
    </x:row>
    <x:row r="13" ht="15" hidden="0" customHeight="1">
      <x:c r="A13" s="3" t="str">
        <x:v>EX-012</x:v>
      </x:c>
      <x:c r="B13" s="3" t="str">
        <x:v>Aerospike</x:v>
      </x:c>
      <x:c r="C13" s="3" t="str">
        <x:v>Principal Software Engineer</x:v>
      </x:c>
      <x:c r="D13" s="3" t="str">
        <x:v>https://ats.rippling.com/aerospike-inc/jobs/a5b39d96-278e-44fd-9a02-1b68580093f9</x:v>
      </x:c>
      <x:c r="E13" s="8" t="d">
        <x:v>2026-10-27T00:00:00.000Z</x:v>
      </x:c>
      <x:c r="F13" s="3" t="str">
        <x:v>Expert C/C++ required.</x:v>
      </x:c>
    </x:row>
    <x:row r="14" ht="15" hidden="0" customHeight="1">
      <x:c r="A14" s="3" t="str">
        <x:v>EX-013</x:v>
      </x:c>
      <x:c r="B14" s="3" t="str">
        <x:v>Aerospike</x:v>
      </x:c>
      <x:c r="C14" s="3" t="str">
        <x:v>Senior Software Engineer, Client</x:v>
      </x:c>
      <x:c r="D14" s="3" t="str">
        <x:v>https://ats.rippling.com/aerospike-inc/jobs/3c060fd2-15d8-4c01-854e-240504a908d1</x:v>
      </x:c>
      <x:c r="E14" s="8" t="d">
        <x:v>2026-10-27T00:00:00.000Z</x:v>
      </x:c>
      <x:c r="F14" s="3" t="str">
        <x:v>Two languages required from Java, Go, C, C#, Rust; Go alone does not meet that screen.</x:v>
      </x:c>
    </x:row>
    <x:row r="15" ht="15" hidden="0" customHeight="1">
      <x:c r="A15" s="3" t="str">
        <x:v>EX-014</x:v>
      </x:c>
      <x:c r="B15" s="3" t="str">
        <x:v>Percona</x:v>
      </x:c>
      <x:c r="C15" s="3" t="str">
        <x:v>unknown</x:v>
      </x:c>
      <x:c r="D15" s="3" t="str">
        <x:v>https://jobs.ashbyhq.com/percona/74eb45a3-fb7f-4078-bb62-97048b7623e8</x:v>
      </x:c>
      <x:c r="E15" s="8" t="d">
        <x:v>2026-10-27T00:00:00.000Z</x:v>
      </x:c>
      <x:c r="F15" s="3" t="str">
        <x:v>Unreadable posting: returned JavaScript shell.</x:v>
      </x:c>
    </x:row>
    <x:row r="16" ht="24" hidden="0" customHeight="1">
      <x:c r="A16" s="3" t="str">
        <x:v>EX-015</x:v>
      </x:c>
      <x:c r="B16" s="3" t="str">
        <x:v>Cloudflare</x:v>
      </x:c>
      <x:c r="C16" s="3" t="str">
        <x:v>Software Engineer - Platforms &amp; Productivity</x:v>
      </x:c>
      <x:c r="D16" s="3" t="str">
        <x:v>https://job-boards.greenhouse.io/cloudflare/jobs/6972536?gh_jid=6972536&amp;gh_src=seekorswimcom</x:v>
      </x:c>
      <x:c r="E16" s="8" t="d">
        <x:v>2026-10-27T00:00:00.000Z</x:v>
      </x:c>
      <x:c r="F16" s="3" t="str">
        <x:v>Posting date unknown; cannot establish the requested 2026-07-27 cutoff.</x:v>
      </x:c>
    </x:row>
    <x:row r="17" ht="15" hidden="0" customHeight="1">
      <x:c r="A17" s="3" t="str">
        <x:v>EX-016</x:v>
      </x:c>
      <x:c r="B17" s="3" t="str">
        <x:v>New Relic</x:v>
      </x:c>
      <x:c r="C17" s="3" t="str">
        <x:v>Senior Software Engineer</x:v>
      </x:c>
      <x:c r="D17" s="3" t="str">
        <x:v>https://job-boards.greenhouse.io/newrelic/jobs/5459398008?gh_src=remotejobshub.app</x:v>
      </x:c>
      <x:c r="E17" s="8" t="d">
        <x:v>2026-10-27T00:00:00.000Z</x:v>
      </x:c>
      <x:c r="F17" s="3" t="str">
        <x:v>Five or more years of professional Java required.</x:v>
      </x:c>
    </x:row>
    <x:row r="18" ht="15" hidden="0" customHeight="1">
      <x:c r="A18" s="3" t="str">
        <x:v>EX-017</x:v>
      </x:c>
      <x:c r="B18" s="3" t="str">
        <x:v>New Relic</x:v>
      </x:c>
      <x:c r="C18" s="3" t="str">
        <x:v>Lead Software Engineer</x:v>
      </x:c>
      <x:c r="D18" s="3" t="str">
        <x:v>https://job-boards.greenhouse.io/newrelic/jobs/5459404008</x:v>
      </x:c>
      <x:c r="E18" s="8" t="d">
        <x:v>2026-10-27T00:00:00.000Z</x:v>
      </x:c>
      <x:c r="F18" s="3" t="str">
        <x:v>Expert Java required.</x:v>
      </x:c>
    </x:row>
    <x:row r="19" ht="15" hidden="0" customHeight="1">
      <x:c r="A19" s="3" t="str">
        <x:v>EX-018</x:v>
      </x:c>
      <x:c r="B19" s="3" t="str">
        <x:v>Dynatrace</x:v>
      </x:c>
      <x:c r="C19" s="3" t="str">
        <x:v>Sr Data Engineer</x:v>
      </x:c>
      <x:c r="D19" s="3" t="str">
        <x:v>https://www.dynatrace.com/careers/jobs/1433962300/</x:v>
      </x:c>
      <x:c r="E19" s="8" t="d">
        <x:v>2026-10-27T00:00:00.000Z</x:v>
      </x:c>
      <x:c r="F19" s="3" t="str">
        <x:v>Business-data ingestion pipelines; not building the data-infrastructure platform software.</x:v>
      </x:c>
    </x:row>
    <x:row r="20" ht="15" hidden="0" customHeight="1">
      <x:c r="A20" s="3" t="str">
        <x:v>EX-019</x:v>
      </x:c>
      <x:c r="B20" s="3" t="str">
        <x:v>Sentry</x:v>
      </x:c>
      <x:c r="C20" s="3" t="str">
        <x:v>Staff Software Engineer, Platform &amp; Infrastructure</x:v>
      </x:c>
      <x:c r="D20" s="3" t="str">
        <x:v>https://sentry.io/careers/68b3897c-bbb0-4f90-aa9a-57981323e26b/</x:v>
      </x:c>
      <x:c r="E20" s="8" t="d">
        <x:v>2026-10-27T00:00:00.000Z</x:v>
      </x:c>
      <x:c r="F20" s="3" t="str">
        <x:v>San Francisco role; outside the requested countries.</x:v>
      </x:c>
    </x:row>
    <x:row r="21" ht="15" hidden="0" customHeight="1">
      <x:c r="A21" s="3" t="str">
        <x:v>EX-020</x:v>
      </x:c>
      <x:c r="B21" s="3" t="str">
        <x:v>Cribl</x:v>
      </x:c>
      <x:c r="C21" s="3" t="str">
        <x:v>unknown</x:v>
      </x:c>
      <x:c r="D21" s="3" t="str">
        <x:v>https://job-boards.greenhouse.io/cribl/jobs/5617815004</x:v>
      </x:c>
      <x:c r="E21" s="8" t="d">
        <x:v>2026-10-27T00:00:00.000Z</x:v>
      </x:c>
      <x:c r="F21" s="3" t="str">
        <x:v>Removed posting: redirects to general careers page.</x:v>
      </x:c>
    </x:row>
    <x:row r="22" ht="15" hidden="0" customHeight="1">
      <x:c r="A22" s="3" t="str">
        <x:v>EX-021</x:v>
      </x:c>
      <x:c r="B22" s="3" t="str">
        <x:v>LogicMonitor</x:v>
      </x:c>
      <x:c r="C22" s="3" t="str">
        <x:v>Senior Software Engineer</x:v>
      </x:c>
      <x:c r="D22" s="3" t="str">
        <x:v>https://www.logicmonitor.com/careers/?gh_jid=7593528</x:v>
      </x:c>
      <x:c r="E22" s="8" t="d">
        <x:v>2026-10-27T00:00:00.000Z</x:v>
      </x:c>
      <x:c r="F22" s="3" t="str">
        <x:v>Posting date unknown; cannot establish the requested 2026-07-27 cutoff.</x:v>
      </x:c>
    </x:row>
    <x:row r="23" ht="15" hidden="0" customHeight="1">
      <x:c r="A23" s="3" t="str">
        <x:v>EX-022</x:v>
      </x:c>
      <x:c r="B23" s="3" t="str">
        <x:v>Last9</x:v>
      </x:c>
      <x:c r="C23" s="3" t="str">
        <x:v>Software Engineer</x:v>
      </x:c>
      <x:c r="D23" s="3" t="str">
        <x:v>https://startup.jobs/software-engineer-last9-2500837</x:v>
      </x:c>
      <x:c r="E23" s="8" t="d">
        <x:v>2026-10-27T00:00:00.000Z</x:v>
      </x:c>
      <x:c r="F23" s="3" t="str">
        <x:v>Closed: board explicitly says no longer accepting applications.</x:v>
      </x:c>
    </x:row>
    <x:row r="24" ht="15" hidden="0" customHeight="1">
      <x:c r="A24" s="3" t="str">
        <x:v>EX-023</x:v>
      </x:c>
      <x:c r="B24" s="3" t="str">
        <x:v>SigNoz</x:v>
      </x:c>
      <x:c r="C24" s="3" t="str">
        <x:v>unknown</x:v>
      </x:c>
      <x:c r="D24" s="3" t="str">
        <x:v>https://jobs.ashbyhq.com/signoz/e8c0ae83-391b-4c68-be61-ca32392d223f</x:v>
      </x:c>
      <x:c r="E24" s="8" t="d">
        <x:v>2026-10-27T00:00:00.000Z</x:v>
      </x:c>
      <x:c r="F24" s="3" t="str">
        <x:v>Unreadable posting: fetch error.</x:v>
      </x:c>
    </x:row>
    <x:row r="25" ht="15" hidden="0" customHeight="1">
      <x:c r="A25" s="3" t="str">
        <x:v>EX-024</x:v>
      </x:c>
      <x:c r="B25" s="3" t="str">
        <x:v>GitLab</x:v>
      </x:c>
      <x:c r="C25" s="3" t="str">
        <x:v>unknown</x:v>
      </x:c>
      <x:c r="D25" s="3" t="str">
        <x:v>https://job-boards.greenhouse.io/gitlab/jobs/8231379002</x:v>
      </x:c>
      <x:c r="E25" s="8" t="d">
        <x:v>2026-10-27T00:00:00.000Z</x:v>
      </x:c>
      <x:c r="F25" s="3" t="str">
        <x:v>Closed or removed: employer redirects to error=true job index.</x:v>
      </x:c>
    </x:row>
    <x:row r="26" ht="15" hidden="0" customHeight="1">
      <x:c r="A26" s="3" t="str">
        <x:v>EX-025</x:v>
      </x:c>
      <x:c r="B26" s="3" t="str">
        <x:v>BrowserStack</x:v>
      </x:c>
      <x:c r="C26" s="3" t="str">
        <x:v>Senior Software Developer</x:v>
      </x:c>
      <x:c r="D26" s="3" t="str">
        <x:v>https://browserstack.hire.trakstar.com/jobs/fk0igf/</x:v>
      </x:c>
      <x:c r="E26" s="8" t="d">
        <x:v>2026-10-27T00:00:00.000Z</x:v>
      </x:c>
      <x:c r="F26" s="3" t="str">
        <x:v>Location is Mumbai; no target-city or remote-India option stated.</x:v>
      </x:c>
    </x:row>
    <x:row r="27" ht="15" hidden="0" customHeight="1">
      <x:c r="A27" s="3" t="str">
        <x:v>EX-026</x:v>
      </x:c>
      <x:c r="B27" s="3" t="str">
        <x:v>LambdaTest</x:v>
      </x:c>
      <x:c r="C27" s="3" t="str">
        <x:v>unknown</x:v>
      </x:c>
      <x:c r="D27" s="3" t="str">
        <x:v>https://lambdatest.keka.com/careers/jobdetails/44102</x:v>
      </x:c>
      <x:c r="E27" s="8" t="d">
        <x:v>2026-10-27T00:00:00.000Z</x:v>
      </x:c>
      <x:c r="F27" s="3" t="str">
        <x:v>Closed or removed: employer says posting unavailable.</x:v>
      </x:c>
    </x:row>
    <x:row r="28" ht="24" hidden="0" customHeight="1">
      <x:c r="A28" s="3" t="str">
        <x:v>EX-027</x:v>
      </x:c>
      <x:c r="B28" s="3" t="str">
        <x:v>Sauce Labs</x:v>
      </x:c>
      <x:c r="C28" s="3" t="str">
        <x:v>Senior Software Engineer (Python/Go) - Infrastructure</x:v>
      </x:c>
      <x:c r="D28" s="3" t="str">
        <x:v>https://job-boards.greenhouse.io/saucelabs/jobs/8303361</x:v>
      </x:c>
      <x:c r="E28" s="8" t="d">
        <x:v>2026-10-27T00:00:00.000Z</x:v>
      </x:c>
      <x:c r="F28" s="3" t="str">
        <x:v>Gurgaon hybrid role; outside requested India locations.</x:v>
      </x:c>
    </x:row>
    <x:row r="29" ht="15" hidden="0" customHeight="1">
      <x:c r="A29" s="3" t="str">
        <x:v>EX-028</x:v>
      </x:c>
      <x:c r="B29" s="3" t="str">
        <x:v>Gravitee</x:v>
      </x:c>
      <x:c r="C29" s="3" t="str">
        <x:v>Senior Software Engineer</x:v>
      </x:c>
      <x:c r="D29" s="3" t="str">
        <x:v>https://graviteetopcoltd.teamtailor.com/jobs/8440180-senior-software-engineer</x:v>
      </x:c>
      <x:c r="E29" s="8" t="d">
        <x:v>2026-10-27T00:00:00.000Z</x:v>
      </x:c>
      <x:c r="F29" s="3" t="str">
        <x:v>National Capital Region hybrid role; outside requested India locations.</x:v>
      </x:c>
    </x:row>
    <x:row r="30" ht="24" hidden="0" customHeight="1">
      <x:c r="A30" s="3" t="str">
        <x:v>EX-029</x:v>
      </x:c>
      <x:c r="B30" s="3" t="str">
        <x:v>Canonical</x:v>
      </x:c>
      <x:c r="C30" s="3" t="str">
        <x:v>Senior / Staff / Principal Engineer</x:v>
      </x:c>
      <x:c r="D30" s="3" t="str">
        <x:v>https://job-boards.greenhouse.io/canonical/jobs/5142887?gh_src=remote-work.app&amp;source=remote-work.app</x:v>
      </x:c>
      <x:c r="E30" s="8" t="d">
        <x:v>2026-10-27T00:00:00.000Z</x:v>
      </x:c>
      <x:c r="F30" s="3" t="str">
        <x:v>No verifiable posting date; July 27 cutoff cannot be established.</x:v>
      </x:c>
    </x:row>
    <x:row r="31" ht="15" hidden="0" customHeight="1">
      <x:c r="A31" s="3" t="str">
        <x:v>EX-030</x:v>
      </x:c>
      <x:c r="B31" s="3" t="str">
        <x:v>Mirantis</x:v>
      </x:c>
      <x:c r="C31" s="3" t="str">
        <x:v>Software Engineer (Backend/Go)</x:v>
      </x:c>
      <x:c r="D31" s="3" t="str">
        <x:v>https://jobs.smartrecruiters.com/mirantis/744000153011138</x:v>
      </x:c>
      <x:c r="E31" s="8" t="d">
        <x:v>2026-10-27T00:00:00.000Z</x:v>
      </x:c>
      <x:c r="F31" s="3" t="str">
        <x:v>Level is not stated as Senior, Staff, Lead, Principal or MTS.</x:v>
      </x:c>
    </x:row>
    <x:row r="32" ht="15" hidden="0" customHeight="1">
      <x:c r="A32" s="3" t="str">
        <x:v>EX-031</x:v>
      </x:c>
      <x:c r="B32" s="3" t="str">
        <x:v>Sysdig</x:v>
      </x:c>
      <x:c r="C32" s="3" t="str">
        <x:v>Senior Software Engineer - Platform</x:v>
      </x:c>
      <x:c r="D32" s="3" t="str">
        <x:v>https://jobs.lever.co/sysdig/44c914c5-bbbc-48d4-bb40-63b4abd9a8ed</x:v>
      </x:c>
      <x:c r="E32" s="8" t="d">
        <x:v>2026-10-27T00:00:00.000Z</x:v>
      </x:c>
      <x:c r="F32" s="3" t="str">
        <x:v>Location is Serbia; outside requested countries.</x:v>
      </x:c>
    </x:row>
    <x:row r="33" ht="24" hidden="0" customHeight="1">
      <x:c r="A33" s="3" t="str">
        <x:v>EX-032</x:v>
      </x:c>
      <x:c r="B33" s="3" t="str">
        <x:v>Aqua Security</x:v>
      </x:c>
      <x:c r="C33" s="3" t="str">
        <x:v>Senior Software Engineer</x:v>
      </x:c>
      <x:c r="D33" s="3" t="str">
        <x:v>https://www.aquasec.com/about-us/careers/co/hyderabad-india/AB.27D/senior-software-engineer/all/</x:v>
      </x:c>
      <x:c r="E33" s="8" t="d">
        <x:v>2026-10-27T00:00:00.000Z</x:v>
      </x:c>
      <x:c r="F33" s="3" t="str">
        <x:v>No verifiable posting date; July 27 cutoff cannot be established.</x:v>
      </x:c>
    </x:row>
    <x:row r="34" ht="24" hidden="0" customHeight="1">
      <x:c r="A34" s="3" t="str">
        <x:v>EX-033</x:v>
      </x:c>
      <x:c r="B34" s="3" t="str">
        <x:v>Aqua Security</x:v>
      </x:c>
      <x:c r="C34" s="3" t="str">
        <x:v>Tech Lead - Software Engineering</x:v>
      </x:c>
      <x:c r="D34" s="3" t="str">
        <x:v>https://www.aquasec.com/about-us/careers/co/hyderabad-india/D4.279/tech-lead-software-engineering/all/</x:v>
      </x:c>
      <x:c r="E34" s="8" t="d">
        <x:v>2026-10-27T00:00:00.000Z</x:v>
      </x:c>
      <x:c r="F34" s="3" t="str">
        <x:v>No verifiable posting date; July 27 cutoff cannot be established.</x:v>
      </x:c>
    </x:row>
    <x:row r="35" ht="24" hidden="0" customHeight="1">
      <x:c r="A35" s="3" t="str">
        <x:v>EX-034</x:v>
      </x:c>
      <x:c r="B35" s="3" t="str">
        <x:v>Check Point</x:v>
      </x:c>
      <x:c r="C35" s="3" t="str">
        <x:v>Senior Software Engineer - Development Experience Group</x:v>
      </x:c>
      <x:c r="D35" s="3" t="str">
        <x:v>https://jobs.smartrecruiters.com/CheckPointSoftwareTechnologies2/744000145425190-senior-software-engineer-development-experience-group</x:v>
      </x:c>
      <x:c r="E35" s="8" t="d">
        <x:v>2026-10-27T00:00:00.000Z</x:v>
      </x:c>
      <x:c r="F35" s="3" t="str">
        <x:v>Location is Tel Aviv; outside requested countries.</x:v>
      </x:c>
    </x:row>
    <x:row r="36" ht="24" hidden="0" customHeight="1">
      <x:c r="A36" s="3" t="str">
        <x:v>EX-035</x:v>
      </x:c>
      <x:c r="B36" s="3" t="str">
        <x:v>SentinelOne</x:v>
      </x:c>
      <x:c r="C36" s="3" t="str">
        <x:v>Senior Software Engineer - Golang/Python (Bangalore)</x:v>
      </x:c>
      <x:c r="D36" s="3" t="str">
        <x:v>https://jobs.dcvc.com/companies/sentinelone/jobs/68516951-senior-software-engineer-golang-python-bangalore</x:v>
      </x:c>
      <x:c r="E36" s="8" t="d">
        <x:v>2026-10-27T00:00:00.000Z</x:v>
      </x:c>
      <x:c r="F36" s="3" t="str">
        <x:v>Board explicitly says the job is no longer accepting applications.</x:v>
      </x:c>
    </x:row>
    <x:row r="37" ht="24" hidden="0" customHeight="1">
      <x:c r="A37" s="3" t="str">
        <x:v>EX-036</x:v>
      </x:c>
      <x:c r="B37" s="3" t="str">
        <x:v>SonicWall</x:v>
      </x:c>
      <x:c r="C37" s="3" t="str">
        <x:v>Software Dev Principal Engineer -Go and cloud experience is a must</x:v>
      </x:c>
      <x:c r="D37" s="3" t="str">
        <x:v>https://job-boards.greenhouse.io/sonicwall/jobs/8306131</x:v>
      </x:c>
      <x:c r="E37" s="8" t="d">
        <x:v>2026-10-27T00:00:00.000Z</x:v>
      </x:c>
      <x:c r="F37" s="3" t="str">
        <x:v>No verifiable posting date; July 27 cutoff cannot be established.</x:v>
      </x:c>
    </x:row>
    <x:row r="38" ht="24" hidden="0" customHeight="1">
      <x:c r="A38" s="3" t="str">
        <x:v>EX-037</x:v>
      </x:c>
      <x:c r="B38" s="3" t="str">
        <x:v>Proofpoint</x:v>
      </x:c>
      <x:c r="C38" s="3" t="str">
        <x:v>unknown</x:v>
      </x:c>
      <x:c r="D38" s="3" t="str">
        <x:v>https://proofpoint.wd5.myworkdayjobs.com/en-US/ProofpointCareers/job/Senior-Software-Engineer_R13728</x:v>
      </x:c>
      <x:c r="E38" s="8" t="d">
        <x:v>2026-10-27T00:00:00.000Z</x:v>
      </x:c>
      <x:c r="F38" s="3" t="str">
        <x:v>Unreadable posting: empty Workday page.</x:v>
      </x:c>
    </x:row>
    <x:row r="39" ht="15" hidden="0" customHeight="1">
      <x:c r="A39" s="3" t="str">
        <x:v>EX-038</x:v>
      </x:c>
      <x:c r="B39" s="3" t="str">
        <x:v>Abnormal AI</x:v>
      </x:c>
      <x:c r="C39" s="3" t="str">
        <x:v>Senior Software Engineer - Product Data Gateway</x:v>
      </x:c>
      <x:c r="D39" s="3" t="str">
        <x:v>https://abnormal.ai/careers/jobs/7481102003?gh_jid=7481102003</x:v>
      </x:c>
      <x:c r="E39" s="8" t="d">
        <x:v>2026-10-27T00:00:00.000Z</x:v>
      </x:c>
      <x:c r="F39" s="3" t="str">
        <x:v>No verifiable posting date; July 27 cutoff cannot be established.</x:v>
      </x:c>
    </x:row>
    <x:row r="40" ht="15" hidden="0" customHeight="1">
      <x:c r="A40" s="3" t="str">
        <x:v>EX-039</x:v>
      </x:c>
      <x:c r="B40" s="3" t="str">
        <x:v>SailPoint</x:v>
      </x:c>
      <x:c r="C40" s="3" t="str">
        <x:v>unknown</x:v>
      </x:c>
      <x:c r="D40" s="3" t="str">
        <x:v>https://sailpoint.wd1.myworkdayjobs.com/en-US/SailPoint/job/Senior-Software-Engineer_R014304</x:v>
      </x:c>
      <x:c r="E40" s="8" t="d">
        <x:v>2026-10-27T00:00:00.000Z</x:v>
      </x:c>
      <x:c r="F40" s="3" t="str">
        <x:v>Unreadable posting: empty Workday page.</x:v>
      </x:c>
    </x:row>
    <x:row r="41" ht="15" hidden="0" customHeight="1">
      <x:c r="A41" s="3" t="str">
        <x:v>EX-040</x:v>
      </x:c>
      <x:c r="B41" s="3" t="str">
        <x:v>Snyk</x:v>
      </x:c>
      <x:c r="C41" s="3" t="str">
        <x:v>Senior Software Engineer - Data Infrastructure</x:v>
      </x:c>
      <x:c r="D41" s="3" t="str">
        <x:v>https://jobs.stripes.co/companies/snyk/jobs/60138635-senior-software-engineer-data-infrastructure</x:v>
      </x:c>
      <x:c r="E41" s="8" t="d">
        <x:v>2026-10-27T00:00:00.000Z</x:v>
      </x:c>
      <x:c r="F41" s="3" t="str">
        <x:v>Board explicitly says the job is no longer accepting applications.</x:v>
      </x:c>
    </x:row>
    <x:row r="42" ht="15" hidden="0" customHeight="1">
      <x:c r="A42" s="3" t="str">
        <x:v>EX-041</x:v>
      </x:c>
      <x:c r="B42" s="3" t="str">
        <x:v>Adyen</x:v>
      </x:c>
      <x:c r="C42" s="3" t="str">
        <x:v>Senior Platform Engineer - Observability</x:v>
      </x:c>
      <x:c r="D42" s="3" t="str">
        <x:v>https://careers.adyen.com/vacancies/7607691-observability-infrastructure-engineer</x:v>
      </x:c>
      <x:c r="E42" s="8" t="d">
        <x:v>2026-10-27T00:00:00.000Z</x:v>
      </x:c>
      <x:c r="F42" s="3" t="str">
        <x:v>No verifiable posting date; July 27 cutoff cannot be established.</x:v>
      </x:c>
    </x:row>
    <x:row r="43" ht="24" hidden="0" customHeight="1">
      <x:c r="A43" s="3" t="str">
        <x:v>EX-042</x:v>
      </x:c>
      <x:c r="B43" s="3" t="str">
        <x:v>Picnic</x:v>
      </x:c>
      <x:c r="C43" s="3" t="str">
        <x:v>AI Platform Engineer</x:v>
      </x:c>
      <x:c r="D43" s="3" t="str">
        <x:v>https://jobs.picnic.app/en/vacancies/J4RU8AM7/engineering/ai-platform-engineer/amsterdam/north-holland/netherlands</x:v>
      </x:c>
      <x:c r="E43" s="8" t="d">
        <x:v>2026-10-27T00:00:00.000Z</x:v>
      </x:c>
      <x:c r="F43" s="3" t="str">
        <x:v>No verifiable posting date; July 27 cutoff cannot be established.</x:v>
      </x:c>
    </x:row>
    <x:row r="44" ht="15" hidden="0" customHeight="1">
      <x:c r="A44" s="3" t="str">
        <x:v>EX-043</x:v>
      </x:c>
      <x:c r="B44" s="3" t="str">
        <x:v>Miro</x:v>
      </x:c>
      <x:c r="C44" s="3" t="str">
        <x:v>Senior Backend Engineer - Content Discovery</x:v>
      </x:c>
      <x:c r="D44" s="3" t="str">
        <x:v>https://app.welcometothejungle.com/jobs/rO3hXkv-</x:v>
      </x:c>
      <x:c r="E44" s="8" t="d">
        <x:v>2026-10-27T00:00:00.000Z</x:v>
      </x:c>
      <x:c r="F44" s="3" t="str">
        <x:v>Board explicitly says job no longer available.</x:v>
      </x:c>
    </x:row>
    <x:row r="45" ht="15" hidden="0" customHeight="1">
      <x:c r="A45" s="3" t="str">
        <x:v>EX-044</x:v>
      </x:c>
      <x:c r="B45" s="3" t="str">
        <x:v>Mollie</x:v>
      </x:c>
      <x:c r="C45" s="3" t="str">
        <x:v>unknown</x:v>
      </x:c>
      <x:c r="D45" s="3" t="str">
        <x:v>https://jobs.ashbyhq.com/mollie/9fbfa9c6-e57c-43ab-b7c1-39cd7d7d801f</x:v>
      </x:c>
      <x:c r="E45" s="8" t="d">
        <x:v>2026-10-27T00:00:00.000Z</x:v>
      </x:c>
      <x:c r="F45" s="3" t="str">
        <x:v>Unreadable employer posting: JavaScript shell.</x:v>
      </x:c>
    </x:row>
    <x:row r="46" ht="15" hidden="0" customHeight="1">
      <x:c r="A46" s="3" t="str">
        <x:v>EX-045</x:v>
      </x:c>
      <x:c r="B46" s="3" t="str">
        <x:v>Backbase</x:v>
      </x:c>
      <x:c r="C46" s="3" t="str">
        <x:v>Senior Platform Engineer</x:v>
      </x:c>
      <x:c r="D46" s="3" t="str">
        <x:v>https://www.backbase.com/careers/jobs/8124286-senior-platform-engineer</x:v>
      </x:c>
      <x:c r="E46" s="8" t="d">
        <x:v>2026-10-27T00:00:00.000Z</x:v>
      </x:c>
      <x:c r="F46" s="3" t="str">
        <x:v>Duties mainly release support, environment operations and CI/CD maintenance.</x:v>
      </x:c>
    </x:row>
    <x:row r="47" ht="24" hidden="0" customHeight="1">
      <x:c r="A47" s="3" t="str">
        <x:v>EX-046</x:v>
      </x:c>
      <x:c r="B47" s="3" t="str">
        <x:v>TomTom</x:v>
      </x:c>
      <x:c r="C47" s="3" t="str">
        <x:v>Senior MLOps/Data Engineer</x:v>
      </x:c>
      <x:c r="D47" s="3" t="str">
        <x:v>https://www.tomtom.com/careers/jobdetails/564ca739-8bac-472b-a107-2d531ea1578f/senior-mlops-data-engineer/</x:v>
      </x:c>
      <x:c r="E47" s="8" t="d">
        <x:v>2026-10-27T00:00:00.000Z</x:v>
      </x:c>
      <x:c r="F47" s="3" t="str">
        <x:v>Duties mainly ML pipeline operations and monitoring, not platform software development.</x:v>
      </x:c>
    </x:row>
    <x:row r="48" ht="24" hidden="0" customHeight="1">
      <x:c r="A48" s="3" t="str">
        <x:v>EX-047</x:v>
      </x:c>
      <x:c r="B48" s="3" t="str">
        <x:v>Weaviate</x:v>
      </x:c>
      <x:c r="C48" s="3" t="str">
        <x:v>Senior Software Engineer - Database</x:v>
      </x:c>
      <x:c r="D48" s="3" t="str">
        <x:v>https://indexventures.getro.com/companies/weaviate/jobs/59149631-senior-software-engineer-database</x:v>
      </x:c>
      <x:c r="E48" s="8" t="d">
        <x:v>2026-10-27T00:00:00.000Z</x:v>
      </x:c>
      <x:c r="F48" s="3" t="str">
        <x:v>Board explicitly says no longer accepting applications.</x:v>
      </x:c>
    </x:row>
    <x:row r="49" ht="15" hidden="0" customHeight="1">
      <x:c r="A49" s="3" t="str">
        <x:v>EX-048</x:v>
      </x:c>
      <x:c r="B49" s="3" t="str">
        <x:v>Intercom</x:v>
      </x:c>
      <x:c r="C49" s="3" t="str">
        <x:v>unknown</x:v>
      </x:c>
      <x:c r="D49" s="3" t="str">
        <x:v>https://job-boards.greenhouse.io/intercom/jobs/7731665</x:v>
      </x:c>
      <x:c r="E49" s="8" t="d">
        <x:v>2026-10-27T00:00:00.000Z</x:v>
      </x:c>
      <x:c r="F49" s="3" t="str">
        <x:v>Closed or removed: employer redirects to error=true index.</x:v>
      </x:c>
    </x:row>
    <x:row r="50" ht="24" hidden="0" customHeight="1">
      <x:c r="A50" s="3" t="str">
        <x:v>EX-049</x:v>
      </x:c>
      <x:c r="B50" s="3" t="str">
        <x:v>HubSpot</x:v>
      </x:c>
      <x:c r="C50" s="3" t="str">
        <x:v>Principal Software Engineer, Developer Acceleration (Release Engineering)</x:v>
      </x:c>
      <x:c r="D50" s="3" t="str">
        <x:v>https://nextleveljobs.eu/companies/hubspot/jobs/6a91cc4cacfb19346f742cd8</x:v>
      </x:c>
      <x:c r="E50" s="8" t="d">
        <x:v>2026-10-27T00:00:00.000Z</x:v>
      </x:c>
      <x:c r="F50" s="3" t="str">
        <x:v>Go/Python eligibility not established by the readable JD; language tag appears under AI Summary.</x:v>
      </x:c>
    </x:row>
    <x:row r="51" ht="24" hidden="0" customHeight="1">
      <x:c r="A51" s="3" t="str">
        <x:v>EX-050</x:v>
      </x:c>
      <x:c r="B51" s="3" t="str">
        <x:v>LetsGetChecked</x:v>
      </x:c>
      <x:c r="C51" s="3" t="str">
        <x:v>Senior Software Engineer</x:v>
      </x:c>
      <x:c r="D51" s="3" t="str">
        <x:v>https://careers.transformcap.com/companies/letsgetchecked/jobs/92698624-senior-software-engineer</x:v>
      </x:c>
      <x:c r="E51" s="8" t="d">
        <x:v>2026-10-27T00:00:00.000Z</x:v>
      </x:c>
      <x:c r="F51" s="3" t="str">
        <x:v>Location is United States; outside requested countries.</x:v>
      </x:c>
    </x:row>
    <x:row r="52" ht="24" hidden="0" customHeight="1">
      <x:c r="A52" s="3" t="str">
        <x:v>EX-051</x:v>
      </x:c>
      <x:c r="B52" s="3" t="str">
        <x:v>Workvivo</x:v>
      </x:c>
      <x:c r="C52" s="3" t="str">
        <x:v>unknown</x:v>
      </x:c>
      <x:c r="D52" s="3" t="str">
        <x:v>https://www.careers.zoom.us/job-details/senior-software-engineer-php-with-laravel-framework-workvivo-in-engineering-jobs-1760098</x:v>
      </x:c>
      <x:c r="E52" s="8" t="d">
        <x:v>2026-10-27T00:00:00.000Z</x:v>
      </x:c>
      <x:c r="F52" s="3" t="str">
        <x:v>Unreadable posting: employer URL returns 404.</x:v>
      </x:c>
    </x:row>
    <x:row r="53" ht="24" hidden="0" customHeight="1">
      <x:c r="A53" s="3" t="str">
        <x:v>EX-052</x:v>
      </x:c>
      <x:c r="B53" s="3" t="str">
        <x:v>Zalando</x:v>
      </x:c>
      <x:c r="C53" s="3" t="str">
        <x:v>Senior Software Engineer - Fulfillment Core (all genders)</x:v>
      </x:c>
      <x:c r="D53" s="3" t="str">
        <x:v>https://jobs.zalando.com/en/jobs/2725609</x:v>
      </x:c>
      <x:c r="E53" s="8" t="d">
        <x:v>2026-10-27T00:00:00.000Z</x:v>
      </x:c>
      <x:c r="F53" s="3" t="str">
        <x:v>Java-based language proficiency is required.</x:v>
      </x:c>
    </x:row>
    <x:row r="54" ht="24" hidden="0" customHeight="1">
      <x:c r="A54" s="3" t="str">
        <x:v>EX-053</x:v>
      </x:c>
      <x:c r="B54" s="3" t="str">
        <x:v>Delivery Hero</x:v>
      </x:c>
      <x:c r="C54" s="3" t="str">
        <x:v>Senior, Software Engineer, Golang - (Platform - Developer Productivity) (all genders)</x:v>
      </x:c>
      <x:c r="D54" s="3" t="str">
        <x:v>https://careers.deliveryhero.com/job/senior-software-engineer-golang-platform-developer-productivity-all-genders-in-berlin-germany-jid-2834</x:v>
      </x:c>
      <x:c r="E54" s="8" t="d">
        <x:v>2026-10-27T00:00:00.000Z</x:v>
      </x:c>
      <x:c r="F54" s="3" t="str">
        <x:v>Employer explicitly says vacancy expired.</x:v>
      </x:c>
    </x:row>
    <x:row r="55" ht="15" hidden="0" customHeight="1">
      <x:c r="A55" s="3" t="str">
        <x:v>EX-054</x:v>
      </x:c>
      <x:c r="B55" s="3" t="str">
        <x:v>N26</x:v>
      </x:c>
      <x:c r="C55" s="3" t="str">
        <x:v>Senior Site Reliability Engineer - Infrastructure</x:v>
      </x:c>
      <x:c r="D55" s="3" t="str">
        <x:v>https://n26.com/en-eu/careers/positions/8219953</x:v>
      </x:c>
      <x:c r="E55" s="8" t="d">
        <x:v>2026-10-27T00:00:00.000Z</x:v>
      </x:c>
      <x:c r="F55" s="3" t="str">
        <x:v>No verifiable posting date; July 27 cutoff cannot be established.</x:v>
      </x:c>
    </x:row>
    <x:row r="56" ht="15" hidden="0" customHeight="1">
      <x:c r="A56" s="3" t="str">
        <x:v>EX-055</x:v>
      </x:c>
      <x:c r="B56" s="3" t="str">
        <x:v>Trade Republic</x:v>
      </x:c>
      <x:c r="C56" s="3" t="str">
        <x:v>(Senior) Platform Engineer - Golang</x:v>
      </x:c>
      <x:c r="D56" s="3" t="str">
        <x:v>https://app.welcometothejungle.com/jobs/0fsY28Ui</x:v>
      </x:c>
      <x:c r="E56" s="8" t="d">
        <x:v>2026-10-27T00:00:00.000Z</x:v>
      </x:c>
      <x:c r="F56" s="3" t="str">
        <x:v>Board explicitly says job no longer available.</x:v>
      </x:c>
    </x:row>
  </x:sheetData>
  <x:pageMargins left="0.7" right="0.7" top="0.75" bottom="0.75" header="0.3" footer="0.3"/>
  <x:tableParts count="1">
    <x:tablePart xmlns:r="http://schemas.openxmlformats.org/officeDocument/2006/relationships" r:id="R56784080ffb74c23"/>
  </x:tableParts>
</x:worksheet>
</file>